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Hp\Documents\Data Analysis\Excel\"/>
    </mc:Choice>
  </mc:AlternateContent>
  <xr:revisionPtr revIDLastSave="0" documentId="13_ncr:1_{48B089F4-0B7E-4CA5-85B9-D339CD1219BA}" xr6:coauthVersionLast="47" xr6:coauthVersionMax="47" xr10:uidLastSave="{00000000-0000-0000-0000-000000000000}"/>
  <bookViews>
    <workbookView xWindow="-120" yWindow="-120" windowWidth="20730" windowHeight="11160" activeTab="1" xr2:uid="{C3BC67FE-F60D-4790-BEA0-6CF9A328C0D8}"/>
  </bookViews>
  <sheets>
    <sheet name="Sheet1" sheetId="2" r:id="rId1"/>
    <sheet name="Sheet2" sheetId="3" r:id="rId2"/>
    <sheet name="Mall_Customers" sheetId="1" r:id="rId3"/>
  </sheets>
  <definedNames>
    <definedName name="_xlnm._FilterDatabase" localSheetId="2" hidden="1">Mall_Customers!$A$1:$H$201</definedName>
    <definedName name="Slicer_Age_Group">#N/A</definedName>
    <definedName name="Slicer_Genre">#N/A</definedName>
    <definedName name="Slicer_Income_Rang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 i="1"/>
</calcChain>
</file>

<file path=xl/sharedStrings.xml><?xml version="1.0" encoding="utf-8"?>
<sst xmlns="http://schemas.openxmlformats.org/spreadsheetml/2006/main" count="257" uniqueCount="27">
  <si>
    <t>CustomerID</t>
  </si>
  <si>
    <t>Genre</t>
  </si>
  <si>
    <t>Age</t>
  </si>
  <si>
    <t>Annual Income (k$)</t>
  </si>
  <si>
    <t>Spending Score (1-100)</t>
  </si>
  <si>
    <t>Male</t>
  </si>
  <si>
    <t>Female</t>
  </si>
  <si>
    <t>Row Labels</t>
  </si>
  <si>
    <t>Grand Total</t>
  </si>
  <si>
    <t>Count of Genre</t>
  </si>
  <si>
    <t>Age Group</t>
  </si>
  <si>
    <t>Income Range</t>
  </si>
  <si>
    <t>Sprnding Category</t>
  </si>
  <si>
    <t>Adult</t>
  </si>
  <si>
    <t>Middle-Aged</t>
  </si>
  <si>
    <t xml:space="preserve">Senior </t>
  </si>
  <si>
    <t>Young</t>
  </si>
  <si>
    <t>Count of CustomerID</t>
  </si>
  <si>
    <t>High</t>
  </si>
  <si>
    <t>Low</t>
  </si>
  <si>
    <t>Medium</t>
  </si>
  <si>
    <t xml:space="preserve">Very High </t>
  </si>
  <si>
    <t>Average of Spending Score (1-100)</t>
  </si>
  <si>
    <t>Average of Annual Income (k$)</t>
  </si>
  <si>
    <t>Spending Cate</t>
  </si>
  <si>
    <t>Age group</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</si>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</sst>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5C]#,##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70" formatCode="[$$-45C]#,##0"/>
    </dxf>
    <dxf>
      <numFmt numFmtId="1" formatCode="0"/>
    </dxf>
    <dxf>
      <numFmt numFmtId="1" formatCode="0"/>
    </dxf>
    <dxf>
      <numFmt numFmtId="1" formatCode="0"/>
    </dxf>
    <dxf>
      <numFmt numFmtId="1" formatCode="0"/>
    </dxf>
    <dxf>
      <numFmt numFmtId="1" formatCode="0"/>
    </dxf>
    <dxf>
      <numFmt numFmtId="170" formatCode="[$$-45C]#,##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[Mall_Customers.xlsx]Sheet1!PivotTable8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Spending Score by Income</a:t>
            </a:r>
            <a:r>
              <a:rPr lang="en-US" baseline="0"/>
              <a:t>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37800488480606592"/>
          <c:w val="0.93888888888888888"/>
          <c:h val="0.53774387576552929"/>
        </c:manualLayout>
      </c:layout>
      <c:lineChart>
        <c:grouping val="standard"/>
        <c:varyColors val="0"/>
        <c:ser>
          <c:idx val="0"/>
          <c:order val="0"/>
          <c:tx>
            <c:strRef>
              <c:f>Sheet1!$Q$2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Sheet1!$P$3:$P$7</c:f>
              <c:strCache>
                <c:ptCount val="4"/>
                <c:pt idx="0">
                  <c:v>High</c:v>
                </c:pt>
                <c:pt idx="1">
                  <c:v>Low</c:v>
                </c:pt>
                <c:pt idx="2">
                  <c:v>Medium</c:v>
                </c:pt>
                <c:pt idx="3">
                  <c:v>Very High </c:v>
                </c:pt>
              </c:strCache>
            </c:strRef>
          </c:cat>
          <c:val>
            <c:numRef>
              <c:f>Sheet1!$Q$3:$Q$7</c:f>
              <c:numCache>
                <c:formatCode>0</c:formatCode>
                <c:ptCount val="4"/>
                <c:pt idx="0">
                  <c:v>49.924999999999997</c:v>
                </c:pt>
                <c:pt idx="1">
                  <c:v>49.65625</c:v>
                </c:pt>
                <c:pt idx="2">
                  <c:v>50.196969696969695</c:v>
                </c:pt>
                <c:pt idx="3">
                  <c:v>52</c:v>
                </c:pt>
              </c:numCache>
            </c:numRef>
          </c:val>
          <c:smooth val="0"/>
          <c:extLst>
            <c:ext xmlns:c16="http://schemas.microsoft.com/office/drawing/2014/chart" uri="{C3380CC4-5D6E-409C-BE32-E72D297353CC}">
              <c16:uniqueId val="{00000000-1F8F-4774-AE40-7B54C4B6655C}"/>
            </c:ext>
          </c:extLst>
        </c:ser>
        <c:dLbls>
          <c:showLegendKey val="0"/>
          <c:showVal val="0"/>
          <c:showCatName val="0"/>
          <c:showSerName val="0"/>
          <c:showPercent val="0"/>
          <c:showBubbleSize val="0"/>
        </c:dLbls>
        <c:marker val="1"/>
        <c:smooth val="0"/>
        <c:axId val="2011735055"/>
        <c:axId val="1814797903"/>
      </c:lineChart>
      <c:catAx>
        <c:axId val="201173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97903"/>
        <c:crosses val="autoZero"/>
        <c:auto val="1"/>
        <c:lblAlgn val="ctr"/>
        <c:lblOffset val="100"/>
        <c:noMultiLvlLbl val="0"/>
      </c:catAx>
      <c:valAx>
        <c:axId val="1814797903"/>
        <c:scaling>
          <c:orientation val="minMax"/>
        </c:scaling>
        <c:delete val="1"/>
        <c:axPos val="l"/>
        <c:numFmt formatCode="0" sourceLinked="1"/>
        <c:majorTickMark val="none"/>
        <c:minorTickMark val="none"/>
        <c:tickLblPos val="nextTo"/>
        <c:crossAx val="201173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[Mall_Customers.xlsx]Sheet1!PivotTable2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bg1"/>
                </a:solidFill>
                <a:latin typeface="Trebuchet MS" panose="020B0603020202020204" pitchFamily="34" charset="0"/>
              </a:rPr>
              <a:t>Total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bg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chemeClr val="accent1">
              <a:lumMod val="5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pivotFmt>
      <c:pivotFmt>
        <c:idx val="8"/>
        <c:spPr>
          <a:solidFill>
            <a:schemeClr val="accent1">
              <a:lumMod val="50000"/>
            </a:schemeClr>
          </a:solidFill>
          <a:ln w="19050">
            <a:solidFill>
              <a:schemeClr val="lt1"/>
            </a:solidFill>
          </a:ln>
          <a:effectLst/>
        </c:spPr>
      </c:pivotFmt>
    </c:pivotFmts>
    <c:plotArea>
      <c:layout>
        <c:manualLayout>
          <c:layoutTarget val="inner"/>
          <c:xMode val="edge"/>
          <c:yMode val="edge"/>
          <c:x val="0.16989747105557859"/>
          <c:y val="1.8454433895709201E-2"/>
          <c:w val="0.62202729990212247"/>
          <c:h val="0.82004238707375887"/>
        </c:manualLayout>
      </c:layout>
      <c:doughnutChart>
        <c:varyColors val="1"/>
        <c:ser>
          <c:idx val="0"/>
          <c:order val="0"/>
          <c:tx>
            <c:strRef>
              <c:f>Sheet1!$B$2</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737D-4818-BFC1-D97680F51F97}"/>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737D-4818-BFC1-D97680F51F97}"/>
              </c:ext>
            </c:extLst>
          </c:dPt>
          <c:cat>
            <c:strRef>
              <c:f>Sheet1!$A$3:$A$5</c:f>
              <c:strCache>
                <c:ptCount val="2"/>
                <c:pt idx="0">
                  <c:v>Female</c:v>
                </c:pt>
                <c:pt idx="1">
                  <c:v>Male</c:v>
                </c:pt>
              </c:strCache>
            </c:strRef>
          </c:cat>
          <c:val>
            <c:numRef>
              <c:f>Sheet1!$B$3:$B$5</c:f>
              <c:numCache>
                <c:formatCode>General</c:formatCode>
                <c:ptCount val="2"/>
                <c:pt idx="0">
                  <c:v>112</c:v>
                </c:pt>
                <c:pt idx="1">
                  <c:v>88</c:v>
                </c:pt>
              </c:numCache>
            </c:numRef>
          </c:val>
          <c:extLst>
            <c:ext xmlns:c16="http://schemas.microsoft.com/office/drawing/2014/chart" uri="{C3380CC4-5D6E-409C-BE32-E72D297353CC}">
              <c16:uniqueId val="{00000004-737D-4818-BFC1-D97680F51F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9.0983772675112567E-2"/>
          <c:y val="0.80715567648931863"/>
          <c:w val="0.80403442977298278"/>
          <c:h val="0.1705639735512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[Mall_Customers.xlsx]Sheet1!PivotTable3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latin typeface="Trebuchet MS" panose="020B0603020202020204" pitchFamily="34" charset="0"/>
              </a:rPr>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5934027899957809E-2"/>
              <c:y val="-8.1632653061224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
              <c:y val="6.802721088435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3260030999953277E-2"/>
              <c:y val="-6.80272108843537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Sheet1!$E$2</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EEEA-413E-8B6C-DB56C32611B9}"/>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EEEA-413E-8B6C-DB56C32611B9}"/>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EEEA-413E-8B6C-DB56C32611B9}"/>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EEEA-413E-8B6C-DB56C32611B9}"/>
              </c:ext>
            </c:extLst>
          </c:dPt>
          <c:dLbls>
            <c:dLbl>
              <c:idx val="0"/>
              <c:layout>
                <c:manualLayout>
                  <c:x val="6.5934027899957809E-2"/>
                  <c:y val="-8.16326530612244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EA-413E-8B6C-DB56C32611B9}"/>
                </c:ext>
              </c:extLst>
            </c:dLbl>
            <c:dLbl>
              <c:idx val="1"/>
              <c:layout>
                <c:manualLayout>
                  <c:x val="0"/>
                  <c:y val="6.80272108843537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EA-413E-8B6C-DB56C32611B9}"/>
                </c:ext>
              </c:extLst>
            </c:dLbl>
            <c:dLbl>
              <c:idx val="2"/>
              <c:layout>
                <c:manualLayout>
                  <c:x val="-7.3260030999953277E-2"/>
                  <c:y val="-6.802721088435373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EA-413E-8B6C-DB56C32611B9}"/>
                </c:ext>
              </c:extLst>
            </c:dLbl>
            <c:dLbl>
              <c:idx val="3"/>
              <c:layout>
                <c:manualLayout>
                  <c:x val="0"/>
                  <c:y val="-4.76190476190476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EEA-413E-8B6C-DB56C32611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Sheet1!$D$3:$D$7</c:f>
              <c:strCache>
                <c:ptCount val="4"/>
                <c:pt idx="0">
                  <c:v>Adult</c:v>
                </c:pt>
                <c:pt idx="1">
                  <c:v>Middle-Aged</c:v>
                </c:pt>
                <c:pt idx="2">
                  <c:v>Senior </c:v>
                </c:pt>
                <c:pt idx="3">
                  <c:v>Young</c:v>
                </c:pt>
              </c:strCache>
            </c:strRef>
          </c:cat>
          <c:val>
            <c:numRef>
              <c:f>Sheet1!$E$3:$E$7</c:f>
              <c:numCache>
                <c:formatCode>General</c:formatCode>
                <c:ptCount val="4"/>
                <c:pt idx="0">
                  <c:v>84</c:v>
                </c:pt>
                <c:pt idx="1">
                  <c:v>61</c:v>
                </c:pt>
                <c:pt idx="2">
                  <c:v>17</c:v>
                </c:pt>
                <c:pt idx="3">
                  <c:v>38</c:v>
                </c:pt>
              </c:numCache>
            </c:numRef>
          </c:val>
          <c:extLst>
            <c:ext xmlns:c16="http://schemas.microsoft.com/office/drawing/2014/chart" uri="{C3380CC4-5D6E-409C-BE32-E72D297353CC}">
              <c16:uniqueId val="{00000008-EEEA-413E-8B6C-DB56C32611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[Mall_Customers.xlsx]Sheet1!PivotTable4</c:name>
    <c:fmtId val="2"/>
  </c:pivotSource>
  <c:chart>
    <c:title>
      <c:tx>
        <c:rich>
          <a:bodyPr rot="0" spcFirstLastPara="1" vertOverflow="ellipsis" vert="horz" wrap="square" anchor="ctr" anchorCtr="1"/>
          <a:lstStyle/>
          <a:p>
            <a:pPr>
              <a:defRPr sz="1100" b="0" i="0" u="none" strike="noStrike" kern="1200" spc="0" baseline="0">
                <a:solidFill>
                  <a:schemeClr val="bg1"/>
                </a:solidFill>
                <a:latin typeface="Trebuchet MS" panose="020B0603020202020204" pitchFamily="34" charset="0"/>
                <a:ea typeface="+mn-ea"/>
                <a:cs typeface="+mn-cs"/>
              </a:defRPr>
            </a:pPr>
            <a:r>
              <a:rPr lang="en-US" sz="1100">
                <a:solidFill>
                  <a:schemeClr val="bg1"/>
                </a:solidFill>
                <a:latin typeface="Trebuchet MS" panose="020B0603020202020204" pitchFamily="34" charset="0"/>
              </a:rPr>
              <a:t>Income Distribution</a:t>
            </a:r>
          </a:p>
        </c:rich>
      </c:tx>
      <c:layout>
        <c:manualLayout>
          <c:xMode val="edge"/>
          <c:yMode val="edge"/>
          <c:x val="0.15039480061614457"/>
          <c:y val="5.243442600228493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Sheet1!$H$2</c:f>
              <c:strCache>
                <c:ptCount val="1"/>
                <c:pt idx="0">
                  <c:v>Total</c:v>
                </c:pt>
              </c:strCache>
            </c:strRef>
          </c:tx>
          <c:spPr>
            <a:solidFill>
              <a:schemeClr val="accent1"/>
            </a:solidFill>
            <a:ln>
              <a:noFill/>
            </a:ln>
            <a:effectLst/>
          </c:spPr>
          <c:invertIfNegative val="0"/>
          <c:cat>
            <c:strRef>
              <c:f>Sheet1!$G$3:$G$7</c:f>
              <c:strCache>
                <c:ptCount val="4"/>
                <c:pt idx="0">
                  <c:v>High</c:v>
                </c:pt>
                <c:pt idx="1">
                  <c:v>Low</c:v>
                </c:pt>
                <c:pt idx="2">
                  <c:v>Medium</c:v>
                </c:pt>
                <c:pt idx="3">
                  <c:v>Very High </c:v>
                </c:pt>
              </c:strCache>
            </c:strRef>
          </c:cat>
          <c:val>
            <c:numRef>
              <c:f>Sheet1!$H$3:$H$7</c:f>
              <c:numCache>
                <c:formatCode>0</c:formatCode>
                <c:ptCount val="4"/>
                <c:pt idx="0">
                  <c:v>80</c:v>
                </c:pt>
                <c:pt idx="1">
                  <c:v>32</c:v>
                </c:pt>
                <c:pt idx="2">
                  <c:v>66</c:v>
                </c:pt>
                <c:pt idx="3">
                  <c:v>22</c:v>
                </c:pt>
              </c:numCache>
            </c:numRef>
          </c:val>
          <c:extLst>
            <c:ext xmlns:c16="http://schemas.microsoft.com/office/drawing/2014/chart" uri="{C3380CC4-5D6E-409C-BE32-E72D297353CC}">
              <c16:uniqueId val="{00000000-9E13-44DC-92D1-8D0C1BA437ED}"/>
            </c:ext>
          </c:extLst>
        </c:ser>
        <c:dLbls>
          <c:showLegendKey val="0"/>
          <c:showVal val="0"/>
          <c:showCatName val="0"/>
          <c:showSerName val="0"/>
          <c:showPercent val="0"/>
          <c:showBubbleSize val="0"/>
        </c:dLbls>
        <c:gapWidth val="100"/>
        <c:overlap val="-27"/>
        <c:axId val="2006605919"/>
        <c:axId val="2006604479"/>
      </c:barChart>
      <c:catAx>
        <c:axId val="200660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6604479"/>
        <c:crosses val="autoZero"/>
        <c:auto val="1"/>
        <c:lblAlgn val="ctr"/>
        <c:lblOffset val="100"/>
        <c:noMultiLvlLbl val="0"/>
      </c:catAx>
      <c:valAx>
        <c:axId val="2006604479"/>
        <c:scaling>
          <c:orientation val="minMax"/>
        </c:scaling>
        <c:delete val="1"/>
        <c:axPos val="l"/>
        <c:numFmt formatCode="0" sourceLinked="1"/>
        <c:majorTickMark val="none"/>
        <c:minorTickMark val="none"/>
        <c:tickLblPos val="nextTo"/>
        <c:crossAx val="200660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[Mall_Customers.xlsx]Sheet1!PivotTable9</c:name>
    <c:fmtId val="2"/>
  </c:pivotSource>
  <c:chart>
    <c:title>
      <c:tx>
        <c:rich>
          <a:bodyPr rot="0" spcFirstLastPara="1" vertOverflow="ellipsis" vert="horz" wrap="square" anchor="ctr" anchorCtr="1"/>
          <a:lstStyle/>
          <a:p>
            <a:pPr>
              <a:defRPr sz="900" b="1" i="0" u="none" strike="noStrike" kern="1200" spc="0" baseline="0">
                <a:solidFill>
                  <a:schemeClr val="accent1">
                    <a:lumMod val="50000"/>
                  </a:schemeClr>
                </a:solidFill>
                <a:latin typeface="Trebuchet MS" panose="020B0603020202020204" pitchFamily="34" charset="0"/>
                <a:ea typeface="+mn-ea"/>
                <a:cs typeface="+mn-cs"/>
              </a:defRPr>
            </a:pPr>
            <a:r>
              <a:rPr lang="en-US" sz="900" b="1">
                <a:solidFill>
                  <a:schemeClr val="accent1">
                    <a:lumMod val="50000"/>
                  </a:schemeClr>
                </a:solidFill>
                <a:latin typeface="Trebuchet MS" panose="020B0603020202020204" pitchFamily="34" charset="0"/>
              </a:rPr>
              <a:t>Gender Avg spending &amp;</a:t>
            </a:r>
            <a:r>
              <a:rPr lang="en-US" sz="900" b="1" baseline="0">
                <a:solidFill>
                  <a:schemeClr val="accent1">
                    <a:lumMod val="50000"/>
                  </a:schemeClr>
                </a:solidFill>
                <a:latin typeface="Trebuchet MS" panose="020B0603020202020204" pitchFamily="34" charset="0"/>
              </a:rPr>
              <a:t> Avg Income</a:t>
            </a:r>
            <a:endParaRPr lang="en-US" sz="900" b="1">
              <a:solidFill>
                <a:schemeClr val="accent1">
                  <a:lumMod val="50000"/>
                </a:schemeClr>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accent1">
                  <a:lumMod val="50000"/>
                </a:schemeClr>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Sheet1!$T$2</c:f>
              <c:strCache>
                <c:ptCount val="1"/>
                <c:pt idx="0">
                  <c:v>Average of Spending Score (1-100)</c:v>
                </c:pt>
              </c:strCache>
            </c:strRef>
          </c:tx>
          <c:spPr>
            <a:solidFill>
              <a:schemeClr val="accent1">
                <a:shade val="76000"/>
              </a:schemeClr>
            </a:solidFill>
            <a:ln>
              <a:noFill/>
            </a:ln>
            <a:effectLst/>
          </c:spPr>
          <c:invertIfNegative val="0"/>
          <c:cat>
            <c:strRef>
              <c:f>Sheet1!$S$3:$S$5</c:f>
              <c:strCache>
                <c:ptCount val="2"/>
                <c:pt idx="0">
                  <c:v>Female</c:v>
                </c:pt>
                <c:pt idx="1">
                  <c:v>Male</c:v>
                </c:pt>
              </c:strCache>
            </c:strRef>
          </c:cat>
          <c:val>
            <c:numRef>
              <c:f>Sheet1!$T$3:$T$5</c:f>
              <c:numCache>
                <c:formatCode>0</c:formatCode>
                <c:ptCount val="2"/>
                <c:pt idx="0">
                  <c:v>51.526785714285715</c:v>
                </c:pt>
                <c:pt idx="1">
                  <c:v>48.511363636363633</c:v>
                </c:pt>
              </c:numCache>
            </c:numRef>
          </c:val>
          <c:extLst>
            <c:ext xmlns:c16="http://schemas.microsoft.com/office/drawing/2014/chart" uri="{C3380CC4-5D6E-409C-BE32-E72D297353CC}">
              <c16:uniqueId val="{00000000-C693-4791-BC3E-6D9431E0B434}"/>
            </c:ext>
          </c:extLst>
        </c:ser>
        <c:ser>
          <c:idx val="1"/>
          <c:order val="1"/>
          <c:tx>
            <c:strRef>
              <c:f>Sheet1!$U$2</c:f>
              <c:strCache>
                <c:ptCount val="1"/>
                <c:pt idx="0">
                  <c:v>Average of Annual Income (k$)</c:v>
                </c:pt>
              </c:strCache>
            </c:strRef>
          </c:tx>
          <c:spPr>
            <a:solidFill>
              <a:schemeClr val="accent1">
                <a:tint val="77000"/>
              </a:schemeClr>
            </a:solidFill>
            <a:ln>
              <a:noFill/>
            </a:ln>
            <a:effectLst/>
          </c:spPr>
          <c:invertIfNegative val="0"/>
          <c:cat>
            <c:strRef>
              <c:f>Sheet1!$S$3:$S$5</c:f>
              <c:strCache>
                <c:ptCount val="2"/>
                <c:pt idx="0">
                  <c:v>Female</c:v>
                </c:pt>
                <c:pt idx="1">
                  <c:v>Male</c:v>
                </c:pt>
              </c:strCache>
            </c:strRef>
          </c:cat>
          <c:val>
            <c:numRef>
              <c:f>Sheet1!$U$3:$U$5</c:f>
              <c:numCache>
                <c:formatCode>0</c:formatCode>
                <c:ptCount val="2"/>
                <c:pt idx="0">
                  <c:v>59.25</c:v>
                </c:pt>
                <c:pt idx="1">
                  <c:v>62.227272727272727</c:v>
                </c:pt>
              </c:numCache>
            </c:numRef>
          </c:val>
          <c:extLst>
            <c:ext xmlns:c16="http://schemas.microsoft.com/office/drawing/2014/chart" uri="{C3380CC4-5D6E-409C-BE32-E72D297353CC}">
              <c16:uniqueId val="{00000001-C693-4791-BC3E-6D9431E0B434}"/>
            </c:ext>
          </c:extLst>
        </c:ser>
        <c:dLbls>
          <c:showLegendKey val="0"/>
          <c:showVal val="0"/>
          <c:showCatName val="0"/>
          <c:showSerName val="0"/>
          <c:showPercent val="0"/>
          <c:showBubbleSize val="0"/>
        </c:dLbls>
        <c:gapWidth val="100"/>
        <c:overlap val="-27"/>
        <c:axId val="2011729295"/>
        <c:axId val="2011732655"/>
      </c:barChart>
      <c:catAx>
        <c:axId val="201172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11732655"/>
        <c:crosses val="autoZero"/>
        <c:auto val="1"/>
        <c:lblAlgn val="ctr"/>
        <c:lblOffset val="100"/>
        <c:noMultiLvlLbl val="0"/>
      </c:catAx>
      <c:valAx>
        <c:axId val="2011732655"/>
        <c:scaling>
          <c:orientation val="minMax"/>
        </c:scaling>
        <c:delete val="1"/>
        <c:axPos val="l"/>
        <c:numFmt formatCode="0" sourceLinked="1"/>
        <c:majorTickMark val="none"/>
        <c:minorTickMark val="none"/>
        <c:tickLblPos val="nextTo"/>
        <c:crossAx val="201172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[Mall_Customers.xlsx]Sheet1!PivotTable5</c:name>
    <c:fmtId val="2"/>
  </c:pivotSource>
  <c:chart>
    <c:title>
      <c:tx>
        <c:rich>
          <a:bodyPr rot="0" spcFirstLastPara="1" vertOverflow="ellipsis" vert="horz" wrap="square" anchor="ctr" anchorCtr="1"/>
          <a:lstStyle/>
          <a:p>
            <a:pPr>
              <a:defRPr sz="900" b="1" i="0" u="none" strike="noStrike" kern="1200" spc="0" baseline="0">
                <a:solidFill>
                  <a:schemeClr val="accent1">
                    <a:lumMod val="50000"/>
                  </a:schemeClr>
                </a:solidFill>
                <a:latin typeface="Trebuchet MS" panose="020B0603020202020204" pitchFamily="34" charset="0"/>
                <a:ea typeface="+mn-ea"/>
                <a:cs typeface="+mn-cs"/>
              </a:defRPr>
            </a:pPr>
            <a:r>
              <a:rPr lang="en-US" sz="900" b="1">
                <a:solidFill>
                  <a:schemeClr val="accent1">
                    <a:lumMod val="50000"/>
                  </a:schemeClr>
                </a:solidFill>
                <a:latin typeface="Trebuchet MS" panose="020B0603020202020204" pitchFamily="34" charset="0"/>
              </a:rPr>
              <a:t>Spending Score</a:t>
            </a:r>
            <a:r>
              <a:rPr lang="en-US" sz="900" b="1" baseline="0">
                <a:solidFill>
                  <a:schemeClr val="accent1">
                    <a:lumMod val="50000"/>
                  </a:schemeClr>
                </a:solidFill>
                <a:latin typeface="Trebuchet MS" panose="020B0603020202020204" pitchFamily="34" charset="0"/>
              </a:rPr>
              <a:t> Distribution</a:t>
            </a:r>
            <a:endParaRPr lang="en-US" sz="900" b="1">
              <a:solidFill>
                <a:schemeClr val="accent1">
                  <a:lumMod val="50000"/>
                </a:schemeClr>
              </a:solidFill>
              <a:latin typeface="Trebuchet MS" panose="020B0603020202020204" pitchFamily="34" charset="0"/>
            </a:endParaRPr>
          </a:p>
        </c:rich>
      </c:tx>
      <c:layout>
        <c:manualLayout>
          <c:xMode val="edge"/>
          <c:yMode val="edge"/>
          <c:x val="0.22509769967293461"/>
          <c:y val="7.0175438596491224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accent1">
                  <a:lumMod val="50000"/>
                </a:schemeClr>
              </a:solidFill>
              <a:latin typeface="Trebuchet MS" panose="020B06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Sheet1!$K$2</c:f>
              <c:strCache>
                <c:ptCount val="1"/>
                <c:pt idx="0">
                  <c:v>Total</c:v>
                </c:pt>
              </c:strCache>
            </c:strRef>
          </c:tx>
          <c:spPr>
            <a:solidFill>
              <a:schemeClr val="accent1"/>
            </a:solidFill>
            <a:ln>
              <a:noFill/>
            </a:ln>
            <a:effectLst/>
          </c:spPr>
          <c:invertIfNegative val="0"/>
          <c:cat>
            <c:strRef>
              <c:f>Sheet1!$J$3:$J$6</c:f>
              <c:strCache>
                <c:ptCount val="3"/>
                <c:pt idx="0">
                  <c:v>High</c:v>
                </c:pt>
                <c:pt idx="1">
                  <c:v>Low</c:v>
                </c:pt>
                <c:pt idx="2">
                  <c:v>Medium</c:v>
                </c:pt>
              </c:strCache>
            </c:strRef>
          </c:cat>
          <c:val>
            <c:numRef>
              <c:f>Sheet1!$K$3:$K$6</c:f>
              <c:numCache>
                <c:formatCode>0</c:formatCode>
                <c:ptCount val="3"/>
                <c:pt idx="0">
                  <c:v>57</c:v>
                </c:pt>
                <c:pt idx="1">
                  <c:v>49</c:v>
                </c:pt>
                <c:pt idx="2">
                  <c:v>94</c:v>
                </c:pt>
              </c:numCache>
            </c:numRef>
          </c:val>
          <c:extLst>
            <c:ext xmlns:c16="http://schemas.microsoft.com/office/drawing/2014/chart" uri="{C3380CC4-5D6E-409C-BE32-E72D297353CC}">
              <c16:uniqueId val="{00000000-FCAB-459D-8A28-B6A83B2F2B96}"/>
            </c:ext>
          </c:extLst>
        </c:ser>
        <c:dLbls>
          <c:showLegendKey val="0"/>
          <c:showVal val="0"/>
          <c:showCatName val="0"/>
          <c:showSerName val="0"/>
          <c:showPercent val="0"/>
          <c:showBubbleSize val="0"/>
        </c:dLbls>
        <c:gapWidth val="100"/>
        <c:axId val="2006607839"/>
        <c:axId val="2006601119"/>
      </c:barChart>
      <c:catAx>
        <c:axId val="200660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06601119"/>
        <c:crosses val="autoZero"/>
        <c:auto val="1"/>
        <c:lblAlgn val="ctr"/>
        <c:lblOffset val="100"/>
        <c:noMultiLvlLbl val="0"/>
      </c:catAx>
      <c:valAx>
        <c:axId val="2006601119"/>
        <c:scaling>
          <c:orientation val="minMax"/>
        </c:scaling>
        <c:delete val="1"/>
        <c:axPos val="b"/>
        <c:numFmt formatCode="0" sourceLinked="1"/>
        <c:majorTickMark val="none"/>
        <c:minorTickMark val="none"/>
        <c:tickLblPos val="nextTo"/>
        <c:crossAx val="200660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[Mall_Customers.xlsx]Sheet1!PivotTable7</c:name>
    <c:fmtId val="2"/>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a:solidFill>
                  <a:schemeClr val="bg1"/>
                </a:solidFill>
              </a:rPr>
              <a:t>Avg</a:t>
            </a:r>
            <a:r>
              <a:rPr lang="en-US" sz="1100" baseline="0">
                <a:solidFill>
                  <a:schemeClr val="bg1"/>
                </a:solidFill>
              </a:rPr>
              <a:t> Spending score by Age Group</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71633854225914E-2"/>
          <c:y val="0.31665448921733996"/>
          <c:w val="0.90005673229154814"/>
          <c:h val="0.45507218528525062"/>
        </c:manualLayout>
      </c:layout>
      <c:lineChart>
        <c:grouping val="standard"/>
        <c:varyColors val="0"/>
        <c:ser>
          <c:idx val="0"/>
          <c:order val="0"/>
          <c:tx>
            <c:strRef>
              <c:f>Sheet1!$N$2</c:f>
              <c:strCache>
                <c:ptCount val="1"/>
                <c:pt idx="0">
                  <c:v>Total</c:v>
                </c:pt>
              </c:strCache>
            </c:strRef>
          </c:tx>
          <c:spPr>
            <a:ln w="28575" cap="rnd">
              <a:solidFill>
                <a:schemeClr val="bg1"/>
              </a:solidFill>
              <a:round/>
            </a:ln>
            <a:effectLst/>
          </c:spPr>
          <c:marker>
            <c:symbol val="circle"/>
            <c:size val="5"/>
            <c:spPr>
              <a:solidFill>
                <a:schemeClr val="accent1"/>
              </a:solidFill>
              <a:ln w="9525">
                <a:solidFill>
                  <a:schemeClr val="accent1"/>
                </a:solidFill>
              </a:ln>
              <a:effectLst/>
            </c:spPr>
          </c:marker>
          <c:cat>
            <c:strRef>
              <c:f>Sheet1!$M$3:$M$7</c:f>
              <c:strCache>
                <c:ptCount val="4"/>
                <c:pt idx="0">
                  <c:v>Adult</c:v>
                </c:pt>
                <c:pt idx="1">
                  <c:v>Middle-Aged</c:v>
                </c:pt>
                <c:pt idx="2">
                  <c:v>Senior </c:v>
                </c:pt>
                <c:pt idx="3">
                  <c:v>Young</c:v>
                </c:pt>
              </c:strCache>
            </c:strRef>
          </c:cat>
          <c:val>
            <c:numRef>
              <c:f>Sheet1!$N$3:$N$7</c:f>
              <c:numCache>
                <c:formatCode>0</c:formatCode>
                <c:ptCount val="4"/>
                <c:pt idx="0">
                  <c:v>61.261904761904759</c:v>
                </c:pt>
                <c:pt idx="1">
                  <c:v>33.688524590163937</c:v>
                </c:pt>
                <c:pt idx="2">
                  <c:v>44.176470588235297</c:v>
                </c:pt>
                <c:pt idx="3">
                  <c:v>54.94736842105263</c:v>
                </c:pt>
              </c:numCache>
            </c:numRef>
          </c:val>
          <c:smooth val="0"/>
          <c:extLst>
            <c:ext xmlns:c16="http://schemas.microsoft.com/office/drawing/2014/chart" uri="{C3380CC4-5D6E-409C-BE32-E72D297353CC}">
              <c16:uniqueId val="{00000000-7C75-4AC8-A8B5-9E5B2DAFA533}"/>
            </c:ext>
          </c:extLst>
        </c:ser>
        <c:dLbls>
          <c:showLegendKey val="0"/>
          <c:showVal val="0"/>
          <c:showCatName val="0"/>
          <c:showSerName val="0"/>
          <c:showPercent val="0"/>
          <c:showBubbleSize val="0"/>
        </c:dLbls>
        <c:marker val="1"/>
        <c:smooth val="0"/>
        <c:axId val="1946314255"/>
        <c:axId val="1946314735"/>
      </c:lineChart>
      <c:catAx>
        <c:axId val="19463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6314735"/>
        <c:crosses val="autoZero"/>
        <c:auto val="1"/>
        <c:lblAlgn val="ctr"/>
        <c:lblOffset val="100"/>
        <c:noMultiLvlLbl val="0"/>
      </c:catAx>
      <c:valAx>
        <c:axId val="1946314735"/>
        <c:scaling>
          <c:orientation val="minMax"/>
        </c:scaling>
        <c:delete val="1"/>
        <c:axPos val="l"/>
        <c:numFmt formatCode="0" sourceLinked="1"/>
        <c:majorTickMark val="none"/>
        <c:minorTickMark val="none"/>
        <c:tickLblPos val="nextTo"/>
        <c:crossAx val="19463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[Mall_Customers.xlsx]Sheet1!PivotTable8</c:name>
    <c:fmtId val="6"/>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a:solidFill>
                  <a:schemeClr val="bg1"/>
                </a:solidFill>
              </a:rPr>
              <a:t>Avg Spending Score by Income Range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40171355803282E-2"/>
          <c:y val="0.22950458864135234"/>
          <c:w val="0.90731965728839348"/>
          <c:h val="0.5220535593065978"/>
        </c:manualLayout>
      </c:layout>
      <c:lineChart>
        <c:grouping val="standard"/>
        <c:varyColors val="0"/>
        <c:ser>
          <c:idx val="0"/>
          <c:order val="0"/>
          <c:tx>
            <c:strRef>
              <c:f>Sheet1!$Q$2</c:f>
              <c:strCache>
                <c:ptCount val="1"/>
                <c:pt idx="0">
                  <c:v>Total</c:v>
                </c:pt>
              </c:strCache>
            </c:strRef>
          </c:tx>
          <c:spPr>
            <a:ln w="28575" cap="rnd">
              <a:solidFill>
                <a:schemeClr val="bg1">
                  <a:lumMod val="95000"/>
                </a:schemeClr>
              </a:solidFill>
              <a:round/>
            </a:ln>
            <a:effectLst/>
          </c:spPr>
          <c:marker>
            <c:symbol val="circle"/>
            <c:size val="5"/>
            <c:spPr>
              <a:solidFill>
                <a:schemeClr val="accent1"/>
              </a:solidFill>
              <a:ln w="9525">
                <a:solidFill>
                  <a:schemeClr val="accent1"/>
                </a:solidFill>
              </a:ln>
              <a:effectLst/>
            </c:spPr>
          </c:marker>
          <c:cat>
            <c:strRef>
              <c:f>Sheet1!$P$3:$P$7</c:f>
              <c:strCache>
                <c:ptCount val="4"/>
                <c:pt idx="0">
                  <c:v>High</c:v>
                </c:pt>
                <c:pt idx="1">
                  <c:v>Low</c:v>
                </c:pt>
                <c:pt idx="2">
                  <c:v>Medium</c:v>
                </c:pt>
                <c:pt idx="3">
                  <c:v>Very High </c:v>
                </c:pt>
              </c:strCache>
            </c:strRef>
          </c:cat>
          <c:val>
            <c:numRef>
              <c:f>Sheet1!$Q$3:$Q$7</c:f>
              <c:numCache>
                <c:formatCode>0</c:formatCode>
                <c:ptCount val="4"/>
                <c:pt idx="0">
                  <c:v>49.924999999999997</c:v>
                </c:pt>
                <c:pt idx="1">
                  <c:v>49.65625</c:v>
                </c:pt>
                <c:pt idx="2">
                  <c:v>50.196969696969695</c:v>
                </c:pt>
                <c:pt idx="3">
                  <c:v>52</c:v>
                </c:pt>
              </c:numCache>
            </c:numRef>
          </c:val>
          <c:smooth val="0"/>
          <c:extLst>
            <c:ext xmlns:c16="http://schemas.microsoft.com/office/drawing/2014/chart" uri="{C3380CC4-5D6E-409C-BE32-E72D297353CC}">
              <c16:uniqueId val="{00000000-7FB0-4A61-BC9B-8AA57439A2B3}"/>
            </c:ext>
          </c:extLst>
        </c:ser>
        <c:dLbls>
          <c:showLegendKey val="0"/>
          <c:showVal val="0"/>
          <c:showCatName val="0"/>
          <c:showSerName val="0"/>
          <c:showPercent val="0"/>
          <c:showBubbleSize val="0"/>
        </c:dLbls>
        <c:marker val="1"/>
        <c:smooth val="0"/>
        <c:axId val="2081354063"/>
        <c:axId val="2081341583"/>
      </c:lineChart>
      <c:catAx>
        <c:axId val="20813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1341583"/>
        <c:crosses val="autoZero"/>
        <c:auto val="1"/>
        <c:lblAlgn val="ctr"/>
        <c:lblOffset val="100"/>
        <c:noMultiLvlLbl val="0"/>
      </c:catAx>
      <c:valAx>
        <c:axId val="2081341583"/>
        <c:scaling>
          <c:orientation val="minMax"/>
        </c:scaling>
        <c:delete val="1"/>
        <c:axPos val="l"/>
        <c:numFmt formatCode="0" sourceLinked="1"/>
        <c:majorTickMark val="none"/>
        <c:minorTickMark val="none"/>
        <c:tickLblPos val="nextTo"/>
        <c:crossAx val="208135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800100</xdr:colOff>
      <xdr:row>22</xdr:row>
      <xdr:rowOff>152400</xdr:rowOff>
    </xdr:from>
    <xdr:to>
      <xdr:col>13</xdr:col>
      <xdr:colOff>428625</xdr:colOff>
      <xdr:row>32</xdr:row>
      <xdr:rowOff>38099</xdr:rowOff>
    </xdr:to>
    <xdr:graphicFrame macro="">
      <xdr:nvGraphicFramePr>
        <xdr:cNvPr id="10" name="Chart 9">
          <a:extLst>
            <a:ext uri="{FF2B5EF4-FFF2-40B4-BE49-F238E27FC236}">
              <a16:creationId xmlns:a16="http://schemas.microsoft.com/office/drawing/2014/main" id="{F8C50044-C6C4-8738-BB31-777F1DAA3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3</xdr:row>
      <xdr:rowOff>47625</xdr:rowOff>
    </xdr:from>
    <xdr:to>
      <xdr:col>3</xdr:col>
      <xdr:colOff>152401</xdr:colOff>
      <xdr:row>27</xdr:row>
      <xdr:rowOff>9525</xdr:rowOff>
    </xdr:to>
    <xdr:sp macro="" textlink="">
      <xdr:nvSpPr>
        <xdr:cNvPr id="2" name="Rectangle: Rounded Corners 1">
          <a:extLst>
            <a:ext uri="{FF2B5EF4-FFF2-40B4-BE49-F238E27FC236}">
              <a16:creationId xmlns:a16="http://schemas.microsoft.com/office/drawing/2014/main" id="{94E1ACFC-B442-7E10-C7CC-0FB24C9329A9}"/>
            </a:ext>
          </a:extLst>
        </xdr:cNvPr>
        <xdr:cNvSpPr/>
      </xdr:nvSpPr>
      <xdr:spPr>
        <a:xfrm>
          <a:off x="914400" y="619125"/>
          <a:ext cx="1066801" cy="4533900"/>
        </a:xfrm>
        <a:prstGeom prst="roundRect">
          <a:avLst>
            <a:gd name="adj" fmla="val 7193"/>
          </a:avLst>
        </a:prstGeom>
        <a:solidFill>
          <a:schemeClr val="bg1"/>
        </a:solidFill>
        <a:ln w="25400"/>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3</xdr:row>
      <xdr:rowOff>57150</xdr:rowOff>
    </xdr:from>
    <xdr:to>
      <xdr:col>16</xdr:col>
      <xdr:colOff>609599</xdr:colOff>
      <xdr:row>27</xdr:row>
      <xdr:rowOff>0</xdr:rowOff>
    </xdr:to>
    <xdr:sp macro="" textlink="">
      <xdr:nvSpPr>
        <xdr:cNvPr id="3" name="Rectangle: Rounded Corners 2">
          <a:extLst>
            <a:ext uri="{FF2B5EF4-FFF2-40B4-BE49-F238E27FC236}">
              <a16:creationId xmlns:a16="http://schemas.microsoft.com/office/drawing/2014/main" id="{7594CFA6-DAAD-1808-E5E4-7C1CBA83C261}"/>
            </a:ext>
          </a:extLst>
        </xdr:cNvPr>
        <xdr:cNvSpPr/>
      </xdr:nvSpPr>
      <xdr:spPr>
        <a:xfrm>
          <a:off x="2019300" y="628650"/>
          <a:ext cx="8343899" cy="4514850"/>
        </a:xfrm>
        <a:prstGeom prst="roundRect">
          <a:avLst>
            <a:gd name="adj" fmla="val 2570"/>
          </a:avLst>
        </a:prstGeom>
        <a:solidFill>
          <a:schemeClr val="bg1">
            <a:lumMod val="85000"/>
          </a:schemeClr>
        </a:solidFill>
        <a:ln w="254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545307</xdr:colOff>
      <xdr:row>5</xdr:row>
      <xdr:rowOff>161925</xdr:rowOff>
    </xdr:from>
    <xdr:to>
      <xdr:col>6</xdr:col>
      <xdr:colOff>2382</xdr:colOff>
      <xdr:row>9</xdr:row>
      <xdr:rowOff>66675</xdr:rowOff>
    </xdr:to>
    <xdr:sp macro="" textlink="">
      <xdr:nvSpPr>
        <xdr:cNvPr id="4" name="Rectangle: Rounded Corners 3">
          <a:extLst>
            <a:ext uri="{FF2B5EF4-FFF2-40B4-BE49-F238E27FC236}">
              <a16:creationId xmlns:a16="http://schemas.microsoft.com/office/drawing/2014/main" id="{9BBE6D66-9017-828B-B29A-38EE8356AFDA}"/>
            </a:ext>
          </a:extLst>
        </xdr:cNvPr>
        <xdr:cNvSpPr/>
      </xdr:nvSpPr>
      <xdr:spPr>
        <a:xfrm>
          <a:off x="2374107" y="1114425"/>
          <a:ext cx="1285875" cy="666750"/>
        </a:xfrm>
        <a:prstGeom prst="roundRect">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a:p>
      </xdr:txBody>
    </xdr:sp>
    <xdr:clientData/>
  </xdr:twoCellAnchor>
  <xdr:twoCellAnchor>
    <xdr:from>
      <xdr:col>3</xdr:col>
      <xdr:colOff>533400</xdr:colOff>
      <xdr:row>9</xdr:row>
      <xdr:rowOff>142875</xdr:rowOff>
    </xdr:from>
    <xdr:to>
      <xdr:col>5</xdr:col>
      <xdr:colOff>600075</xdr:colOff>
      <xdr:row>13</xdr:row>
      <xdr:rowOff>47625</xdr:rowOff>
    </xdr:to>
    <xdr:sp macro="" textlink="">
      <xdr:nvSpPr>
        <xdr:cNvPr id="5" name="Rectangle: Rounded Corners 4">
          <a:extLst>
            <a:ext uri="{FF2B5EF4-FFF2-40B4-BE49-F238E27FC236}">
              <a16:creationId xmlns:a16="http://schemas.microsoft.com/office/drawing/2014/main" id="{779CA57D-C4E9-4044-9286-A4131C0CE7CC}"/>
            </a:ext>
          </a:extLst>
        </xdr:cNvPr>
        <xdr:cNvSpPr/>
      </xdr:nvSpPr>
      <xdr:spPr>
        <a:xfrm>
          <a:off x="2362200" y="1857375"/>
          <a:ext cx="1285875" cy="666750"/>
        </a:xfrm>
        <a:prstGeom prst="roundRect">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200" b="1">
            <a:solidFill>
              <a:schemeClr val="lt1"/>
            </a:solidFill>
            <a:latin typeface="+mn-lt"/>
            <a:ea typeface="+mn-ea"/>
            <a:cs typeface="+mn-cs"/>
          </a:endParaRPr>
        </a:p>
      </xdr:txBody>
    </xdr:sp>
    <xdr:clientData/>
  </xdr:twoCellAnchor>
  <xdr:twoCellAnchor>
    <xdr:from>
      <xdr:col>6</xdr:col>
      <xdr:colOff>57150</xdr:colOff>
      <xdr:row>5</xdr:row>
      <xdr:rowOff>161925</xdr:rowOff>
    </xdr:from>
    <xdr:to>
      <xdr:col>8</xdr:col>
      <xdr:colOff>123825</xdr:colOff>
      <xdr:row>9</xdr:row>
      <xdr:rowOff>66675</xdr:rowOff>
    </xdr:to>
    <xdr:sp macro="" textlink="">
      <xdr:nvSpPr>
        <xdr:cNvPr id="6" name="Rectangle: Rounded Corners 5">
          <a:extLst>
            <a:ext uri="{FF2B5EF4-FFF2-40B4-BE49-F238E27FC236}">
              <a16:creationId xmlns:a16="http://schemas.microsoft.com/office/drawing/2014/main" id="{1F5C9631-D88C-4FC1-B49A-515F2BD10324}"/>
            </a:ext>
          </a:extLst>
        </xdr:cNvPr>
        <xdr:cNvSpPr/>
      </xdr:nvSpPr>
      <xdr:spPr>
        <a:xfrm>
          <a:off x="3714750" y="1114425"/>
          <a:ext cx="1285875" cy="666750"/>
        </a:xfrm>
        <a:prstGeom prst="roundRect">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200" b="1">
            <a:solidFill>
              <a:schemeClr val="lt1"/>
            </a:solidFill>
            <a:latin typeface="+mn-lt"/>
            <a:ea typeface="+mn-ea"/>
            <a:cs typeface="+mn-cs"/>
          </a:endParaRPr>
        </a:p>
      </xdr:txBody>
    </xdr:sp>
    <xdr:clientData/>
  </xdr:twoCellAnchor>
  <xdr:twoCellAnchor>
    <xdr:from>
      <xdr:col>6</xdr:col>
      <xdr:colOff>47625</xdr:colOff>
      <xdr:row>9</xdr:row>
      <xdr:rowOff>142875</xdr:rowOff>
    </xdr:from>
    <xdr:to>
      <xdr:col>8</xdr:col>
      <xdr:colOff>114300</xdr:colOff>
      <xdr:row>13</xdr:row>
      <xdr:rowOff>47625</xdr:rowOff>
    </xdr:to>
    <xdr:sp macro="" textlink="">
      <xdr:nvSpPr>
        <xdr:cNvPr id="7" name="Rectangle: Rounded Corners 6">
          <a:extLst>
            <a:ext uri="{FF2B5EF4-FFF2-40B4-BE49-F238E27FC236}">
              <a16:creationId xmlns:a16="http://schemas.microsoft.com/office/drawing/2014/main" id="{1F51EB4A-9A10-4720-851D-908300E14F86}"/>
            </a:ext>
          </a:extLst>
        </xdr:cNvPr>
        <xdr:cNvSpPr/>
      </xdr:nvSpPr>
      <xdr:spPr>
        <a:xfrm>
          <a:off x="3705225" y="1857375"/>
          <a:ext cx="1285875" cy="666750"/>
        </a:xfrm>
        <a:prstGeom prst="roundRect">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200" b="1">
            <a:solidFill>
              <a:schemeClr val="lt1"/>
            </a:solidFill>
            <a:latin typeface="+mn-lt"/>
            <a:ea typeface="+mn-ea"/>
            <a:cs typeface="+mn-cs"/>
          </a:endParaRPr>
        </a:p>
      </xdr:txBody>
    </xdr:sp>
    <xdr:clientData/>
  </xdr:twoCellAnchor>
  <xdr:twoCellAnchor>
    <xdr:from>
      <xdr:col>3</xdr:col>
      <xdr:colOff>533401</xdr:colOff>
      <xdr:row>14</xdr:row>
      <xdr:rowOff>28574</xdr:rowOff>
    </xdr:from>
    <xdr:to>
      <xdr:col>12</xdr:col>
      <xdr:colOff>38101</xdr:colOff>
      <xdr:row>26</xdr:row>
      <xdr:rowOff>85725</xdr:rowOff>
    </xdr:to>
    <xdr:sp macro="" textlink="">
      <xdr:nvSpPr>
        <xdr:cNvPr id="8" name="Rectangle: Rounded Corners 7">
          <a:extLst>
            <a:ext uri="{FF2B5EF4-FFF2-40B4-BE49-F238E27FC236}">
              <a16:creationId xmlns:a16="http://schemas.microsoft.com/office/drawing/2014/main" id="{73C97927-CC83-A968-EA5C-C54F8970B6B3}"/>
            </a:ext>
          </a:extLst>
        </xdr:cNvPr>
        <xdr:cNvSpPr/>
      </xdr:nvSpPr>
      <xdr:spPr>
        <a:xfrm>
          <a:off x="2362201" y="2695574"/>
          <a:ext cx="4991100" cy="2343151"/>
        </a:xfrm>
        <a:prstGeom prst="roundRect">
          <a:avLst>
            <a:gd name="adj" fmla="val 7018"/>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57150</xdr:colOff>
      <xdr:row>3</xdr:row>
      <xdr:rowOff>161925</xdr:rowOff>
    </xdr:from>
    <xdr:to>
      <xdr:col>16</xdr:col>
      <xdr:colOff>514350</xdr:colOff>
      <xdr:row>14</xdr:row>
      <xdr:rowOff>19050</xdr:rowOff>
    </xdr:to>
    <xdr:sp macro="" textlink="">
      <xdr:nvSpPr>
        <xdr:cNvPr id="10" name="Rectangle: Rounded Corners 9">
          <a:extLst>
            <a:ext uri="{FF2B5EF4-FFF2-40B4-BE49-F238E27FC236}">
              <a16:creationId xmlns:a16="http://schemas.microsoft.com/office/drawing/2014/main" id="{D036D18E-FCC6-4554-A05B-7D32908D820A}"/>
            </a:ext>
          </a:extLst>
        </xdr:cNvPr>
        <xdr:cNvSpPr/>
      </xdr:nvSpPr>
      <xdr:spPr>
        <a:xfrm>
          <a:off x="8591550" y="733425"/>
          <a:ext cx="1676400" cy="1952625"/>
        </a:xfrm>
        <a:prstGeom prst="roundRect">
          <a:avLst>
            <a:gd name="adj" fmla="val 5786"/>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76200</xdr:colOff>
      <xdr:row>14</xdr:row>
      <xdr:rowOff>76199</xdr:rowOff>
    </xdr:from>
    <xdr:to>
      <xdr:col>16</xdr:col>
      <xdr:colOff>523875</xdr:colOff>
      <xdr:row>26</xdr:row>
      <xdr:rowOff>66675</xdr:rowOff>
    </xdr:to>
    <xdr:sp macro="" textlink="">
      <xdr:nvSpPr>
        <xdr:cNvPr id="12" name="Rectangle: Rounded Corners 11">
          <a:extLst>
            <a:ext uri="{FF2B5EF4-FFF2-40B4-BE49-F238E27FC236}">
              <a16:creationId xmlns:a16="http://schemas.microsoft.com/office/drawing/2014/main" id="{A4BE5F51-B4E7-4532-994F-3D460C1A62B7}"/>
            </a:ext>
          </a:extLst>
        </xdr:cNvPr>
        <xdr:cNvSpPr/>
      </xdr:nvSpPr>
      <xdr:spPr>
        <a:xfrm>
          <a:off x="7391400" y="2743199"/>
          <a:ext cx="2886075" cy="2276476"/>
        </a:xfrm>
        <a:prstGeom prst="roundRect">
          <a:avLst>
            <a:gd name="adj" fmla="val 5786"/>
          </a:avLst>
        </a:prstGeom>
        <a:solidFill>
          <a:schemeClr val="bg1"/>
        </a:solidFill>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152400</xdr:colOff>
      <xdr:row>3</xdr:row>
      <xdr:rowOff>152400</xdr:rowOff>
    </xdr:from>
    <xdr:to>
      <xdr:col>13</xdr:col>
      <xdr:colOff>590550</xdr:colOff>
      <xdr:row>14</xdr:row>
      <xdr:rowOff>9525</xdr:rowOff>
    </xdr:to>
    <xdr:grpSp>
      <xdr:nvGrpSpPr>
        <xdr:cNvPr id="13" name="Group 12">
          <a:extLst>
            <a:ext uri="{FF2B5EF4-FFF2-40B4-BE49-F238E27FC236}">
              <a16:creationId xmlns:a16="http://schemas.microsoft.com/office/drawing/2014/main" id="{EA1DE65D-C41E-46F6-BF78-146488461B5A}"/>
            </a:ext>
          </a:extLst>
        </xdr:cNvPr>
        <xdr:cNvGrpSpPr/>
      </xdr:nvGrpSpPr>
      <xdr:grpSpPr>
        <a:xfrm>
          <a:off x="6858000" y="723900"/>
          <a:ext cx="1657350" cy="1952625"/>
          <a:chOff x="152400" y="1343025"/>
          <a:chExt cx="2038350" cy="1571625"/>
        </a:xfrm>
      </xdr:grpSpPr>
      <xdr:sp macro="" textlink="">
        <xdr:nvSpPr>
          <xdr:cNvPr id="14" name="Rectangle: Rounded Corners 13">
            <a:extLst>
              <a:ext uri="{FF2B5EF4-FFF2-40B4-BE49-F238E27FC236}">
                <a16:creationId xmlns:a16="http://schemas.microsoft.com/office/drawing/2014/main" id="{A142DEF9-1FB7-34F0-C2BA-7924C2C0F4A0}"/>
              </a:ext>
            </a:extLst>
          </xdr:cNvPr>
          <xdr:cNvSpPr/>
        </xdr:nvSpPr>
        <xdr:spPr>
          <a:xfrm>
            <a:off x="152400" y="1343025"/>
            <a:ext cx="2038350" cy="1571625"/>
          </a:xfrm>
          <a:prstGeom prst="roundRect">
            <a:avLst>
              <a:gd name="adj" fmla="val 8621"/>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AC1DBBE1-97ED-40E6-369F-F3FFB5C2E83A}"/>
              </a:ext>
            </a:extLst>
          </xdr:cNvPr>
          <xdr:cNvGraphicFramePr/>
        </xdr:nvGraphicFramePr>
        <xdr:xfrm>
          <a:off x="233363" y="1423987"/>
          <a:ext cx="1814512" cy="1376363"/>
        </xdr:xfrm>
        <a:graphic>
          <a:graphicData uri="http://schemas.openxmlformats.org/drawingml/2006/chart">
            <c:chart xmlns:c="http://schemas.openxmlformats.org/drawingml/2006/chart" xmlns:r="http://schemas.openxmlformats.org/officeDocument/2006/relationships" r:id="rId1"/>
          </a:graphicData>
        </a:graphic>
      </xdr:graphicFrame>
      <xdr:sp macro="" textlink="B5">
        <xdr:nvSpPr>
          <xdr:cNvPr id="16" name="Rectangle 15">
            <a:extLst>
              <a:ext uri="{FF2B5EF4-FFF2-40B4-BE49-F238E27FC236}">
                <a16:creationId xmlns:a16="http://schemas.microsoft.com/office/drawing/2014/main" id="{210A0744-D717-C0F3-8E78-D98F4A751568}"/>
              </a:ext>
            </a:extLst>
          </xdr:cNvPr>
          <xdr:cNvSpPr/>
        </xdr:nvSpPr>
        <xdr:spPr>
          <a:xfrm>
            <a:off x="732002" y="1832982"/>
            <a:ext cx="732440" cy="4376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AE5AC1AA-E24E-4467-A330-4E2ADE8F2C49}" type="TxLink">
              <a:rPr lang="en-US" sz="2000" b="0" i="0" u="none" strike="noStrike">
                <a:solidFill>
                  <a:schemeClr val="bg1"/>
                </a:solidFill>
                <a:latin typeface="Calibri"/>
                <a:cs typeface="Calibri"/>
              </a:rPr>
              <a:t>200</a:t>
            </a:fld>
            <a:endParaRPr lang="en-US" sz="2000">
              <a:solidFill>
                <a:schemeClr val="bg1"/>
              </a:solidFill>
            </a:endParaRPr>
          </a:p>
        </xdr:txBody>
      </xdr:sp>
    </xdr:grpSp>
    <xdr:clientData/>
  </xdr:twoCellAnchor>
  <xdr:twoCellAnchor>
    <xdr:from>
      <xdr:col>13</xdr:col>
      <xdr:colOff>609599</xdr:colOff>
      <xdr:row>3</xdr:row>
      <xdr:rowOff>171450</xdr:rowOff>
    </xdr:from>
    <xdr:to>
      <xdr:col>16</xdr:col>
      <xdr:colOff>514350</xdr:colOff>
      <xdr:row>13</xdr:row>
      <xdr:rowOff>133350</xdr:rowOff>
    </xdr:to>
    <xdr:graphicFrame macro="">
      <xdr:nvGraphicFramePr>
        <xdr:cNvPr id="17" name="Chart 16">
          <a:extLst>
            <a:ext uri="{FF2B5EF4-FFF2-40B4-BE49-F238E27FC236}">
              <a16:creationId xmlns:a16="http://schemas.microsoft.com/office/drawing/2014/main" id="{FA919A6C-BFD6-454D-A1A2-BC30791C2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428626</xdr:colOff>
      <xdr:row>16</xdr:row>
      <xdr:rowOff>152399</xdr:rowOff>
    </xdr:from>
    <xdr:to>
      <xdr:col>7</xdr:col>
      <xdr:colOff>400050</xdr:colOff>
      <xdr:row>25</xdr:row>
      <xdr:rowOff>133350</xdr:rowOff>
    </xdr:to>
    <xdr:graphicFrame macro="">
      <xdr:nvGraphicFramePr>
        <xdr:cNvPr id="18" name="Chart 17">
          <a:extLst>
            <a:ext uri="{FF2B5EF4-FFF2-40B4-BE49-F238E27FC236}">
              <a16:creationId xmlns:a16="http://schemas.microsoft.com/office/drawing/2014/main" id="{089C9A14-C1AB-4D6F-9A55-6D4B21397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542925</xdr:colOff>
      <xdr:row>16</xdr:row>
      <xdr:rowOff>9524</xdr:rowOff>
    </xdr:from>
    <xdr:to>
      <xdr:col>17</xdr:col>
      <xdr:colOff>33337</xdr:colOff>
      <xdr:row>25</xdr:row>
      <xdr:rowOff>85725</xdr:rowOff>
    </xdr:to>
    <xdr:graphicFrame macro="">
      <xdr:nvGraphicFramePr>
        <xdr:cNvPr id="19" name="Chart 18">
          <a:extLst>
            <a:ext uri="{FF2B5EF4-FFF2-40B4-BE49-F238E27FC236}">
              <a16:creationId xmlns:a16="http://schemas.microsoft.com/office/drawing/2014/main" id="{678D91A9-B9F0-40FA-B4AB-74EEAAD81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28577</xdr:colOff>
      <xdr:row>14</xdr:row>
      <xdr:rowOff>171450</xdr:rowOff>
    </xdr:from>
    <xdr:to>
      <xdr:col>14</xdr:col>
      <xdr:colOff>428625</xdr:colOff>
      <xdr:row>26</xdr:row>
      <xdr:rowOff>57150</xdr:rowOff>
    </xdr:to>
    <xdr:graphicFrame macro="">
      <xdr:nvGraphicFramePr>
        <xdr:cNvPr id="20" name="Chart 19">
          <a:extLst>
            <a:ext uri="{FF2B5EF4-FFF2-40B4-BE49-F238E27FC236}">
              <a16:creationId xmlns:a16="http://schemas.microsoft.com/office/drawing/2014/main" id="{89259DB1-4B19-48AB-898D-97A5D6696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252414</xdr:colOff>
      <xdr:row>19</xdr:row>
      <xdr:rowOff>152400</xdr:rowOff>
    </xdr:from>
    <xdr:to>
      <xdr:col>12</xdr:col>
      <xdr:colOff>0</xdr:colOff>
      <xdr:row>26</xdr:row>
      <xdr:rowOff>109537</xdr:rowOff>
    </xdr:to>
    <xdr:graphicFrame macro="">
      <xdr:nvGraphicFramePr>
        <xdr:cNvPr id="21" name="Chart 20">
          <a:extLst>
            <a:ext uri="{FF2B5EF4-FFF2-40B4-BE49-F238E27FC236}">
              <a16:creationId xmlns:a16="http://schemas.microsoft.com/office/drawing/2014/main" id="{879C828A-7A04-47C1-A33E-23E26939F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85726</xdr:colOff>
      <xdr:row>13</xdr:row>
      <xdr:rowOff>180974</xdr:rowOff>
    </xdr:from>
    <xdr:to>
      <xdr:col>12</xdr:col>
      <xdr:colOff>52389</xdr:colOff>
      <xdr:row>20</xdr:row>
      <xdr:rowOff>33337</xdr:rowOff>
    </xdr:to>
    <xdr:graphicFrame macro="">
      <xdr:nvGraphicFramePr>
        <xdr:cNvPr id="22" name="Chart 21">
          <a:extLst>
            <a:ext uri="{FF2B5EF4-FFF2-40B4-BE49-F238E27FC236}">
              <a16:creationId xmlns:a16="http://schemas.microsoft.com/office/drawing/2014/main" id="{E497F5BB-F384-44FC-B216-83B913B83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333375</xdr:colOff>
      <xdr:row>9</xdr:row>
      <xdr:rowOff>9525</xdr:rowOff>
    </xdr:from>
    <xdr:to>
      <xdr:col>3</xdr:col>
      <xdr:colOff>142875</xdr:colOff>
      <xdr:row>15</xdr:row>
      <xdr:rowOff>0</xdr:rowOff>
    </xdr:to>
    <mc:AlternateContent xmlns:mc="http://schemas.openxmlformats.org/markup-compatibility/2006">
      <mc:Choice xmlns:a14="http://schemas.microsoft.com/office/drawing/2010/main" Requires="a14">
        <xdr:graphicFrame macro="">
          <xdr:nvGraphicFramePr>
            <xdr:cNvPr id="23" name="Genre">
              <a:extLst>
                <a:ext uri="{FF2B5EF4-FFF2-40B4-BE49-F238E27FC236}">
                  <a16:creationId xmlns:a16="http://schemas.microsoft.com/office/drawing/2014/main" id="{2507B81E-F901-FE23-46E3-E7C7CEDC69D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942975" y="1724025"/>
              <a:ext cx="10287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447675</xdr:colOff>
      <xdr:row>4</xdr:row>
      <xdr:rowOff>152401</xdr:rowOff>
    </xdr:from>
    <xdr:to>
      <xdr:col>11</xdr:col>
      <xdr:colOff>47625</xdr:colOff>
      <xdr:row>13</xdr:row>
      <xdr:rowOff>104775</xdr:rowOff>
    </xdr:to>
    <mc:AlternateContent xmlns:mc="http://schemas.openxmlformats.org/markup-compatibility/2006">
      <mc:Choice xmlns:a14="http://schemas.microsoft.com/office/drawing/2010/main" Requires="a14">
        <xdr:graphicFrame macro="">
          <xdr:nvGraphicFramePr>
            <xdr:cNvPr id="24" name="Age Group">
              <a:extLst>
                <a:ext uri="{FF2B5EF4-FFF2-40B4-BE49-F238E27FC236}">
                  <a16:creationId xmlns:a16="http://schemas.microsoft.com/office/drawing/2014/main" id="{06CAB05B-8F99-771F-FADA-3B1F77BB334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324475" y="914401"/>
              <a:ext cx="142875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333375</xdr:colOff>
      <xdr:row>15</xdr:row>
      <xdr:rowOff>76200</xdr:rowOff>
    </xdr:from>
    <xdr:to>
      <xdr:col>3</xdr:col>
      <xdr:colOff>133349</xdr:colOff>
      <xdr:row>22</xdr:row>
      <xdr:rowOff>161925</xdr:rowOff>
    </xdr:to>
    <mc:AlternateContent xmlns:mc="http://schemas.openxmlformats.org/markup-compatibility/2006">
      <mc:Choice xmlns:a14="http://schemas.microsoft.com/office/drawing/2010/main" Requires="a14">
        <xdr:graphicFrame macro="">
          <xdr:nvGraphicFramePr>
            <xdr:cNvPr id="25" name="Income Range">
              <a:extLst>
                <a:ext uri="{FF2B5EF4-FFF2-40B4-BE49-F238E27FC236}">
                  <a16:creationId xmlns:a16="http://schemas.microsoft.com/office/drawing/2014/main" id="{C20EF1C4-20CD-4FBA-3E9A-F984335F45BD}"/>
                </a:ext>
              </a:extLst>
            </xdr:cNvPr>
            <xdr:cNvGraphicFramePr/>
          </xdr:nvGraphicFramePr>
          <xdr:xfrm>
            <a:off x="0" y="0"/>
            <a:ext cx="0" cy="0"/>
          </xdr:xfrm>
          <a:graphic>
            <a:graphicData uri="http://schemas.microsoft.com/office/drawing/2010/slicer">
              <sle:slicer xmlns:sle="http://schemas.microsoft.com/office/drawing/2010/slicer" name="Income Range"/>
            </a:graphicData>
          </a:graphic>
        </xdr:graphicFrame>
      </mc:Choice>
      <mc:Fallback>
        <xdr:sp macro="" textlink="">
          <xdr:nvSpPr>
            <xdr:cNvPr id="0" name=""/>
            <xdr:cNvSpPr>
              <a:spLocks noTextEdit="1"/>
            </xdr:cNvSpPr>
          </xdr:nvSpPr>
          <xdr:spPr>
            <a:xfrm>
              <a:off x="942975" y="2933700"/>
              <a:ext cx="1019174"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419099</xdr:colOff>
      <xdr:row>3</xdr:row>
      <xdr:rowOff>114299</xdr:rowOff>
    </xdr:from>
    <xdr:to>
      <xdr:col>8</xdr:col>
      <xdr:colOff>352425</xdr:colOff>
      <xdr:row>5</xdr:row>
      <xdr:rowOff>123824</xdr:rowOff>
    </xdr:to>
    <xdr:sp macro="" textlink="">
      <xdr:nvSpPr>
        <xdr:cNvPr id="26" name="TextBox 25">
          <a:extLst>
            <a:ext uri="{FF2B5EF4-FFF2-40B4-BE49-F238E27FC236}">
              <a16:creationId xmlns:a16="http://schemas.microsoft.com/office/drawing/2014/main" id="{646D44AB-A3A1-C444-F545-CEC0AB6F62CF}"/>
            </a:ext>
          </a:extLst>
        </xdr:cNvPr>
        <xdr:cNvSpPr txBox="1"/>
      </xdr:nvSpPr>
      <xdr:spPr>
        <a:xfrm>
          <a:off x="2247899" y="685799"/>
          <a:ext cx="298132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lumMod val="50000"/>
                </a:schemeClr>
              </a:solidFill>
              <a:latin typeface="Trebuchet MS" panose="020B0603020202020204" pitchFamily="34" charset="0"/>
            </a:rPr>
            <a:t>Mall Customer Dashboard</a:t>
          </a:r>
        </a:p>
      </xdr:txBody>
    </xdr:sp>
    <xdr:clientData/>
  </xdr:twoCellAnchor>
  <xdr:twoCellAnchor>
    <xdr:from>
      <xdr:col>3</xdr:col>
      <xdr:colOff>569119</xdr:colOff>
      <xdr:row>6</xdr:row>
      <xdr:rowOff>57150</xdr:rowOff>
    </xdr:from>
    <xdr:to>
      <xdr:col>5</xdr:col>
      <xdr:colOff>588169</xdr:colOff>
      <xdr:row>7</xdr:row>
      <xdr:rowOff>95251</xdr:rowOff>
    </xdr:to>
    <xdr:sp macro="" textlink="">
      <xdr:nvSpPr>
        <xdr:cNvPr id="37" name="TextBox 36">
          <a:extLst>
            <a:ext uri="{FF2B5EF4-FFF2-40B4-BE49-F238E27FC236}">
              <a16:creationId xmlns:a16="http://schemas.microsoft.com/office/drawing/2014/main" id="{D59E25F0-EEAE-4B08-AEB0-D67A57808B25}"/>
            </a:ext>
          </a:extLst>
        </xdr:cNvPr>
        <xdr:cNvSpPr txBox="1"/>
      </xdr:nvSpPr>
      <xdr:spPr>
        <a:xfrm>
          <a:off x="2397919" y="1200150"/>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Trebuchet MS" panose="020B0603020202020204" pitchFamily="34" charset="0"/>
            </a:rPr>
            <a:t>Total</a:t>
          </a:r>
          <a:r>
            <a:rPr lang="en-US" sz="1200" b="1" baseline="0">
              <a:solidFill>
                <a:schemeClr val="accent1">
                  <a:lumMod val="50000"/>
                </a:schemeClr>
              </a:solidFill>
            </a:rPr>
            <a:t> Customers</a:t>
          </a:r>
          <a:endParaRPr lang="en-US" sz="1200" b="1">
            <a:solidFill>
              <a:schemeClr val="accent1">
                <a:lumMod val="50000"/>
              </a:schemeClr>
            </a:solidFill>
          </a:endParaRPr>
        </a:p>
      </xdr:txBody>
    </xdr:sp>
    <xdr:clientData/>
  </xdr:twoCellAnchor>
  <xdr:twoCellAnchor>
    <xdr:from>
      <xdr:col>3</xdr:col>
      <xdr:colOff>602457</xdr:colOff>
      <xdr:row>7</xdr:row>
      <xdr:rowOff>114300</xdr:rowOff>
    </xdr:from>
    <xdr:to>
      <xdr:col>5</xdr:col>
      <xdr:colOff>554832</xdr:colOff>
      <xdr:row>8</xdr:row>
      <xdr:rowOff>123825</xdr:rowOff>
    </xdr:to>
    <xdr:sp macro="" textlink="Sheet1!A10">
      <xdr:nvSpPr>
        <xdr:cNvPr id="38" name="TextBox 37">
          <a:extLst>
            <a:ext uri="{FF2B5EF4-FFF2-40B4-BE49-F238E27FC236}">
              <a16:creationId xmlns:a16="http://schemas.microsoft.com/office/drawing/2014/main" id="{B5FA42DF-51AD-4069-9F42-1B0EA9C9C33E}"/>
            </a:ext>
          </a:extLst>
        </xdr:cNvPr>
        <xdr:cNvSpPr txBox="1"/>
      </xdr:nvSpPr>
      <xdr:spPr>
        <a:xfrm>
          <a:off x="2431257" y="1447800"/>
          <a:ext cx="11715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3EBBC8-FB4A-4412-8C00-03CC03A1A335}" type="TxLink">
            <a:rPr lang="en-US" sz="1100" b="1" i="0" u="none" strike="noStrike">
              <a:solidFill>
                <a:schemeClr val="accent1">
                  <a:lumMod val="50000"/>
                </a:schemeClr>
              </a:solidFill>
              <a:latin typeface="Trebuchet MS" panose="020B0603020202020204" pitchFamily="34" charset="0"/>
              <a:cs typeface="Calibri"/>
            </a:rPr>
            <a:pPr algn="ctr"/>
            <a:t>200</a:t>
          </a:fld>
          <a:endParaRPr lang="en-US" sz="1100" b="1">
            <a:solidFill>
              <a:schemeClr val="accent1">
                <a:lumMod val="50000"/>
              </a:schemeClr>
            </a:solidFill>
            <a:latin typeface="Trebuchet MS" panose="020B0603020202020204" pitchFamily="34" charset="0"/>
          </a:endParaRPr>
        </a:p>
      </xdr:txBody>
    </xdr:sp>
    <xdr:clientData/>
  </xdr:twoCellAnchor>
  <xdr:twoCellAnchor>
    <xdr:from>
      <xdr:col>6</xdr:col>
      <xdr:colOff>80962</xdr:colOff>
      <xdr:row>6</xdr:row>
      <xdr:rowOff>76200</xdr:rowOff>
    </xdr:from>
    <xdr:to>
      <xdr:col>8</xdr:col>
      <xdr:colOff>100012</xdr:colOff>
      <xdr:row>7</xdr:row>
      <xdr:rowOff>114301</xdr:rowOff>
    </xdr:to>
    <xdr:sp macro="" textlink="">
      <xdr:nvSpPr>
        <xdr:cNvPr id="39" name="TextBox 38">
          <a:extLst>
            <a:ext uri="{FF2B5EF4-FFF2-40B4-BE49-F238E27FC236}">
              <a16:creationId xmlns:a16="http://schemas.microsoft.com/office/drawing/2014/main" id="{D8E0EFFD-C19B-4FE4-ABD7-292E4DE7E8A7}"/>
            </a:ext>
          </a:extLst>
        </xdr:cNvPr>
        <xdr:cNvSpPr txBox="1"/>
      </xdr:nvSpPr>
      <xdr:spPr>
        <a:xfrm>
          <a:off x="3738562" y="1219200"/>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Trebuchet MS" panose="020B0603020202020204" pitchFamily="34" charset="0"/>
            </a:rPr>
            <a:t>Avg AGE</a:t>
          </a:r>
          <a:endParaRPr lang="en-US" sz="1200" b="1">
            <a:solidFill>
              <a:schemeClr val="accent1">
                <a:lumMod val="50000"/>
              </a:schemeClr>
            </a:solidFill>
          </a:endParaRPr>
        </a:p>
      </xdr:txBody>
    </xdr:sp>
    <xdr:clientData/>
  </xdr:twoCellAnchor>
  <xdr:twoCellAnchor>
    <xdr:from>
      <xdr:col>6</xdr:col>
      <xdr:colOff>80962</xdr:colOff>
      <xdr:row>7</xdr:row>
      <xdr:rowOff>114300</xdr:rowOff>
    </xdr:from>
    <xdr:to>
      <xdr:col>8</xdr:col>
      <xdr:colOff>100012</xdr:colOff>
      <xdr:row>8</xdr:row>
      <xdr:rowOff>152401</xdr:rowOff>
    </xdr:to>
    <xdr:sp macro="" textlink="Sheet1!B10">
      <xdr:nvSpPr>
        <xdr:cNvPr id="40" name="TextBox 39">
          <a:extLst>
            <a:ext uri="{FF2B5EF4-FFF2-40B4-BE49-F238E27FC236}">
              <a16:creationId xmlns:a16="http://schemas.microsoft.com/office/drawing/2014/main" id="{75476AA7-1CE9-4A45-AA86-18591674FCE0}"/>
            </a:ext>
          </a:extLst>
        </xdr:cNvPr>
        <xdr:cNvSpPr txBox="1"/>
      </xdr:nvSpPr>
      <xdr:spPr>
        <a:xfrm>
          <a:off x="3738562" y="1447800"/>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9A780D-245D-4F01-98DA-EA67043B215E}" type="TxLink">
            <a:rPr lang="en-US" sz="1100" b="1" i="0" u="none" strike="noStrike">
              <a:solidFill>
                <a:schemeClr val="accent1">
                  <a:lumMod val="50000"/>
                </a:schemeClr>
              </a:solidFill>
              <a:latin typeface="Trebuchet MS" panose="020B0603020202020204" pitchFamily="34" charset="0"/>
              <a:cs typeface="Calibri"/>
            </a:rPr>
            <a:t>39</a:t>
          </a:fld>
          <a:endParaRPr lang="en-US" sz="1200" b="1">
            <a:solidFill>
              <a:schemeClr val="accent1">
                <a:lumMod val="50000"/>
              </a:schemeClr>
            </a:solidFill>
            <a:latin typeface="Trebuchet MS" panose="020B0603020202020204" pitchFamily="34" charset="0"/>
          </a:endParaRPr>
        </a:p>
      </xdr:txBody>
    </xdr:sp>
    <xdr:clientData/>
  </xdr:twoCellAnchor>
  <xdr:twoCellAnchor>
    <xdr:from>
      <xdr:col>3</xdr:col>
      <xdr:colOff>557212</xdr:colOff>
      <xdr:row>10</xdr:row>
      <xdr:rowOff>57150</xdr:rowOff>
    </xdr:from>
    <xdr:to>
      <xdr:col>5</xdr:col>
      <xdr:colOff>576262</xdr:colOff>
      <xdr:row>11</xdr:row>
      <xdr:rowOff>95251</xdr:rowOff>
    </xdr:to>
    <xdr:sp macro="" textlink="">
      <xdr:nvSpPr>
        <xdr:cNvPr id="41" name="TextBox 40">
          <a:extLst>
            <a:ext uri="{FF2B5EF4-FFF2-40B4-BE49-F238E27FC236}">
              <a16:creationId xmlns:a16="http://schemas.microsoft.com/office/drawing/2014/main" id="{47495F4B-D7F7-4AF1-B045-DD2BF2453AF7}"/>
            </a:ext>
          </a:extLst>
        </xdr:cNvPr>
        <xdr:cNvSpPr txBox="1"/>
      </xdr:nvSpPr>
      <xdr:spPr>
        <a:xfrm>
          <a:off x="2386012" y="1962150"/>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Trebuchet MS" panose="020B0603020202020204" pitchFamily="34" charset="0"/>
            </a:rPr>
            <a:t>Avg Income</a:t>
          </a:r>
          <a:endParaRPr lang="en-US" sz="1200" b="1">
            <a:solidFill>
              <a:schemeClr val="accent1">
                <a:lumMod val="50000"/>
              </a:schemeClr>
            </a:solidFill>
          </a:endParaRPr>
        </a:p>
      </xdr:txBody>
    </xdr:sp>
    <xdr:clientData/>
  </xdr:twoCellAnchor>
  <xdr:twoCellAnchor>
    <xdr:from>
      <xdr:col>3</xdr:col>
      <xdr:colOff>557212</xdr:colOff>
      <xdr:row>11</xdr:row>
      <xdr:rowOff>104775</xdr:rowOff>
    </xdr:from>
    <xdr:to>
      <xdr:col>5</xdr:col>
      <xdr:colOff>576262</xdr:colOff>
      <xdr:row>12</xdr:row>
      <xdr:rowOff>142876</xdr:rowOff>
    </xdr:to>
    <xdr:sp macro="" textlink="Sheet1!C10">
      <xdr:nvSpPr>
        <xdr:cNvPr id="42" name="TextBox 41">
          <a:extLst>
            <a:ext uri="{FF2B5EF4-FFF2-40B4-BE49-F238E27FC236}">
              <a16:creationId xmlns:a16="http://schemas.microsoft.com/office/drawing/2014/main" id="{1F0BB38A-5BF7-4626-ADB0-CF5D63BBE2E1}"/>
            </a:ext>
          </a:extLst>
        </xdr:cNvPr>
        <xdr:cNvSpPr txBox="1"/>
      </xdr:nvSpPr>
      <xdr:spPr>
        <a:xfrm>
          <a:off x="2386012" y="2200275"/>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4AE8E6-06AD-4B40-A4A9-280AE99099DA}" type="TxLink">
            <a:rPr lang="en-US" sz="1100" b="1" i="0" u="none" strike="noStrike">
              <a:solidFill>
                <a:schemeClr val="accent1">
                  <a:lumMod val="50000"/>
                </a:schemeClr>
              </a:solidFill>
              <a:latin typeface="Trebuchet MS" panose="020B0603020202020204" pitchFamily="34" charset="0"/>
              <a:cs typeface="Calibri"/>
            </a:rPr>
            <a:t>$61</a:t>
          </a:fld>
          <a:r>
            <a:rPr lang="en-US" sz="1100" b="1" i="0" u="none" strike="noStrike">
              <a:solidFill>
                <a:schemeClr val="accent1">
                  <a:lumMod val="50000"/>
                </a:schemeClr>
              </a:solidFill>
              <a:latin typeface="Trebuchet MS" panose="020B0603020202020204" pitchFamily="34" charset="0"/>
              <a:cs typeface="Calibri"/>
            </a:rPr>
            <a:t>k</a:t>
          </a:r>
          <a:endParaRPr lang="en-US" sz="1200" b="1">
            <a:solidFill>
              <a:schemeClr val="accent1">
                <a:lumMod val="50000"/>
              </a:schemeClr>
            </a:solidFill>
            <a:latin typeface="Trebuchet MS" panose="020B0603020202020204" pitchFamily="34" charset="0"/>
          </a:endParaRPr>
        </a:p>
      </xdr:txBody>
    </xdr:sp>
    <xdr:clientData/>
  </xdr:twoCellAnchor>
  <xdr:twoCellAnchor>
    <xdr:from>
      <xdr:col>6</xdr:col>
      <xdr:colOff>71437</xdr:colOff>
      <xdr:row>10</xdr:row>
      <xdr:rowOff>76200</xdr:rowOff>
    </xdr:from>
    <xdr:to>
      <xdr:col>8</xdr:col>
      <xdr:colOff>90487</xdr:colOff>
      <xdr:row>11</xdr:row>
      <xdr:rowOff>114301</xdr:rowOff>
    </xdr:to>
    <xdr:sp macro="" textlink="">
      <xdr:nvSpPr>
        <xdr:cNvPr id="43" name="TextBox 42">
          <a:extLst>
            <a:ext uri="{FF2B5EF4-FFF2-40B4-BE49-F238E27FC236}">
              <a16:creationId xmlns:a16="http://schemas.microsoft.com/office/drawing/2014/main" id="{CB4FE4BA-CFF5-4D26-B956-8ADCA00D4703}"/>
            </a:ext>
          </a:extLst>
        </xdr:cNvPr>
        <xdr:cNvSpPr txBox="1"/>
      </xdr:nvSpPr>
      <xdr:spPr>
        <a:xfrm>
          <a:off x="3729037" y="1981200"/>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accent1">
                  <a:lumMod val="50000"/>
                </a:schemeClr>
              </a:solidFill>
              <a:latin typeface="Trebuchet MS" panose="020B0603020202020204" pitchFamily="34" charset="0"/>
            </a:rPr>
            <a:t>Avg</a:t>
          </a:r>
          <a:r>
            <a:rPr lang="en-US" sz="900" b="1" baseline="0">
              <a:solidFill>
                <a:schemeClr val="accent1">
                  <a:lumMod val="50000"/>
                </a:schemeClr>
              </a:solidFill>
              <a:latin typeface="Trebuchet MS" panose="020B0603020202020204" pitchFamily="34" charset="0"/>
            </a:rPr>
            <a:t> Spending Score</a:t>
          </a:r>
          <a:endParaRPr lang="en-US" sz="900" b="1">
            <a:solidFill>
              <a:schemeClr val="accent1">
                <a:lumMod val="50000"/>
              </a:schemeClr>
            </a:solidFill>
          </a:endParaRPr>
        </a:p>
      </xdr:txBody>
    </xdr:sp>
    <xdr:clientData/>
  </xdr:twoCellAnchor>
  <xdr:twoCellAnchor>
    <xdr:from>
      <xdr:col>6</xdr:col>
      <xdr:colOff>71437</xdr:colOff>
      <xdr:row>11</xdr:row>
      <xdr:rowOff>104775</xdr:rowOff>
    </xdr:from>
    <xdr:to>
      <xdr:col>8</xdr:col>
      <xdr:colOff>90487</xdr:colOff>
      <xdr:row>12</xdr:row>
      <xdr:rowOff>142876</xdr:rowOff>
    </xdr:to>
    <xdr:sp macro="" textlink="Sheet1!D10">
      <xdr:nvSpPr>
        <xdr:cNvPr id="44" name="TextBox 43">
          <a:extLst>
            <a:ext uri="{FF2B5EF4-FFF2-40B4-BE49-F238E27FC236}">
              <a16:creationId xmlns:a16="http://schemas.microsoft.com/office/drawing/2014/main" id="{1F95F2E5-31D6-41DD-9FD5-AC65DB988C13}"/>
            </a:ext>
          </a:extLst>
        </xdr:cNvPr>
        <xdr:cNvSpPr txBox="1"/>
      </xdr:nvSpPr>
      <xdr:spPr>
        <a:xfrm>
          <a:off x="3729037" y="2200275"/>
          <a:ext cx="12382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73B503-38A8-4462-B562-E385A2DA372A}" type="TxLink">
            <a:rPr lang="en-US" sz="1100" b="1" i="0" u="none" strike="noStrike">
              <a:solidFill>
                <a:schemeClr val="accent1">
                  <a:lumMod val="50000"/>
                </a:schemeClr>
              </a:solidFill>
              <a:latin typeface="Trebuchet MS" panose="020B0603020202020204" pitchFamily="34" charset="0"/>
              <a:cs typeface="Calibri"/>
            </a:rPr>
            <a:t>50</a:t>
          </a:fld>
          <a:endParaRPr lang="en-US" sz="1200" b="1">
            <a:solidFill>
              <a:schemeClr val="accent1">
                <a:lumMod val="50000"/>
              </a:schemeClr>
            </a:solidFill>
            <a:latin typeface="Trebuchet MS" panose="020B0603020202020204" pitchFamily="34" charset="0"/>
          </a:endParaRPr>
        </a:p>
      </xdr:txBody>
    </xdr:sp>
    <xdr:clientData/>
  </xdr:twoCellAnchor>
  <xdr:twoCellAnchor>
    <xdr:from>
      <xdr:col>1</xdr:col>
      <xdr:colOff>409575</xdr:colOff>
      <xdr:row>4</xdr:row>
      <xdr:rowOff>66675</xdr:rowOff>
    </xdr:from>
    <xdr:to>
      <xdr:col>3</xdr:col>
      <xdr:colOff>0</xdr:colOff>
      <xdr:row>5</xdr:row>
      <xdr:rowOff>104776</xdr:rowOff>
    </xdr:to>
    <xdr:sp macro="" textlink="">
      <xdr:nvSpPr>
        <xdr:cNvPr id="45" name="TextBox 44">
          <a:extLst>
            <a:ext uri="{FF2B5EF4-FFF2-40B4-BE49-F238E27FC236}">
              <a16:creationId xmlns:a16="http://schemas.microsoft.com/office/drawing/2014/main" id="{9136F9CE-1183-4FEA-8ED1-91226A8123A7}"/>
            </a:ext>
          </a:extLst>
        </xdr:cNvPr>
        <xdr:cNvSpPr txBox="1"/>
      </xdr:nvSpPr>
      <xdr:spPr>
        <a:xfrm>
          <a:off x="1019175" y="828675"/>
          <a:ext cx="80962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50000"/>
                </a:schemeClr>
              </a:solidFill>
              <a:latin typeface="Trebuchet MS" panose="020B0603020202020204" pitchFamily="34" charset="0"/>
            </a:rPr>
            <a:t>JENDOL</a:t>
          </a:r>
          <a:endParaRPr lang="en-US" sz="120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375946296299" createdVersion="8" refreshedVersion="8" minRefreshableVersion="3" recordCount="200" xr:uid="{4D9695FF-B894-493A-B84B-D3027C9DF04D}">
  <cacheSource type="worksheet">
    <worksheetSource ref="A1:H201" sheet="Mall_Customers"/>
  </cacheSource>
  <cacheFields count="8">
    <cacheField name="CustomerID" numFmtId="0">
      <sharedItems containsSemiMixedTypes="0" containsString="0" containsNumber="1" containsInteger="1" minValue="1" maxValue="200"/>
    </cacheField>
    <cacheField name="Genre" numFmtId="0">
      <sharedItems count="2">
        <s v="Male"/>
        <s v="Female"/>
      </sharedItems>
    </cacheField>
    <cacheField name="Age" numFmtId="0">
      <sharedItems containsSemiMixedTypes="0" containsString="0" containsNumber="1" containsInteger="1" minValue="18" maxValue="70"/>
    </cacheField>
    <cacheField name="Age Group" numFmtId="0">
      <sharedItems count="4">
        <s v="Young"/>
        <s v="Adult"/>
        <s v="Senior "/>
        <s v="Middle-Aged"/>
      </sharedItems>
    </cacheField>
    <cacheField name="Annual Income (k$)" numFmtId="0">
      <sharedItems containsSemiMixedTypes="0" containsString="0" containsNumber="1" containsInteger="1" minValue="15" maxValue="137"/>
    </cacheField>
    <cacheField name="Income Range" numFmtId="0">
      <sharedItems count="4">
        <s v="Low"/>
        <s v="Medium"/>
        <s v="High"/>
        <s v="Very High "/>
      </sharedItems>
    </cacheField>
    <cacheField name="Spending Score (1-100)" numFmtId="0">
      <sharedItems containsSemiMixedTypes="0" containsString="0" containsNumber="1" containsInteger="1" minValue="1" maxValue="99"/>
    </cacheField>
    <cacheField name="Sprnding Category" numFmtId="0">
      <sharedItems count="3">
        <s v="Medium"/>
        <s v="High"/>
        <s v="Low"/>
      </sharedItems>
    </cacheField>
  </cacheFields>
  <extLst>
    <ext xmlns:x14="http://schemas.microsoft.com/office/spreadsheetml/2009/9/main" uri="{725AE2AE-9491-48be-B2B4-4EB974FC3084}">
      <x14:pivotCacheDefinition pivotCacheId="695346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19"/>
    <x v="0"/>
    <n v="15"/>
    <x v="0"/>
    <n v="39"/>
    <x v="0"/>
  </r>
  <r>
    <n v="2"/>
    <x v="0"/>
    <n v="21"/>
    <x v="0"/>
    <n v="15"/>
    <x v="0"/>
    <n v="81"/>
    <x v="1"/>
  </r>
  <r>
    <n v="3"/>
    <x v="1"/>
    <n v="20"/>
    <x v="0"/>
    <n v="16"/>
    <x v="0"/>
    <n v="6"/>
    <x v="2"/>
  </r>
  <r>
    <n v="4"/>
    <x v="1"/>
    <n v="23"/>
    <x v="0"/>
    <n v="16"/>
    <x v="0"/>
    <n v="77"/>
    <x v="1"/>
  </r>
  <r>
    <n v="5"/>
    <x v="1"/>
    <n v="31"/>
    <x v="1"/>
    <n v="17"/>
    <x v="0"/>
    <n v="40"/>
    <x v="0"/>
  </r>
  <r>
    <n v="6"/>
    <x v="1"/>
    <n v="22"/>
    <x v="0"/>
    <n v="17"/>
    <x v="0"/>
    <n v="76"/>
    <x v="1"/>
  </r>
  <r>
    <n v="7"/>
    <x v="1"/>
    <n v="35"/>
    <x v="1"/>
    <n v="18"/>
    <x v="0"/>
    <n v="6"/>
    <x v="2"/>
  </r>
  <r>
    <n v="8"/>
    <x v="1"/>
    <n v="23"/>
    <x v="0"/>
    <n v="18"/>
    <x v="0"/>
    <n v="94"/>
    <x v="1"/>
  </r>
  <r>
    <n v="9"/>
    <x v="0"/>
    <n v="64"/>
    <x v="2"/>
    <n v="19"/>
    <x v="0"/>
    <n v="3"/>
    <x v="2"/>
  </r>
  <r>
    <n v="10"/>
    <x v="1"/>
    <n v="30"/>
    <x v="1"/>
    <n v="19"/>
    <x v="0"/>
    <n v="72"/>
    <x v="1"/>
  </r>
  <r>
    <n v="11"/>
    <x v="0"/>
    <n v="67"/>
    <x v="2"/>
    <n v="19"/>
    <x v="0"/>
    <n v="14"/>
    <x v="2"/>
  </r>
  <r>
    <n v="12"/>
    <x v="1"/>
    <n v="35"/>
    <x v="1"/>
    <n v="19"/>
    <x v="0"/>
    <n v="99"/>
    <x v="1"/>
  </r>
  <r>
    <n v="13"/>
    <x v="1"/>
    <n v="58"/>
    <x v="3"/>
    <n v="20"/>
    <x v="0"/>
    <n v="15"/>
    <x v="2"/>
  </r>
  <r>
    <n v="14"/>
    <x v="1"/>
    <n v="24"/>
    <x v="0"/>
    <n v="20"/>
    <x v="0"/>
    <n v="77"/>
    <x v="1"/>
  </r>
  <r>
    <n v="15"/>
    <x v="0"/>
    <n v="37"/>
    <x v="1"/>
    <n v="20"/>
    <x v="0"/>
    <n v="13"/>
    <x v="2"/>
  </r>
  <r>
    <n v="16"/>
    <x v="0"/>
    <n v="22"/>
    <x v="0"/>
    <n v="20"/>
    <x v="0"/>
    <n v="79"/>
    <x v="1"/>
  </r>
  <r>
    <n v="17"/>
    <x v="1"/>
    <n v="35"/>
    <x v="1"/>
    <n v="21"/>
    <x v="0"/>
    <n v="35"/>
    <x v="0"/>
  </r>
  <r>
    <n v="18"/>
    <x v="0"/>
    <n v="20"/>
    <x v="0"/>
    <n v="21"/>
    <x v="0"/>
    <n v="66"/>
    <x v="0"/>
  </r>
  <r>
    <n v="19"/>
    <x v="0"/>
    <n v="52"/>
    <x v="3"/>
    <n v="23"/>
    <x v="0"/>
    <n v="29"/>
    <x v="2"/>
  </r>
  <r>
    <n v="20"/>
    <x v="1"/>
    <n v="35"/>
    <x v="1"/>
    <n v="23"/>
    <x v="0"/>
    <n v="98"/>
    <x v="1"/>
  </r>
  <r>
    <n v="21"/>
    <x v="0"/>
    <n v="35"/>
    <x v="1"/>
    <n v="24"/>
    <x v="0"/>
    <n v="35"/>
    <x v="0"/>
  </r>
  <r>
    <n v="22"/>
    <x v="0"/>
    <n v="25"/>
    <x v="0"/>
    <n v="24"/>
    <x v="0"/>
    <n v="73"/>
    <x v="1"/>
  </r>
  <r>
    <n v="23"/>
    <x v="1"/>
    <n v="46"/>
    <x v="3"/>
    <n v="25"/>
    <x v="0"/>
    <n v="5"/>
    <x v="2"/>
  </r>
  <r>
    <n v="24"/>
    <x v="0"/>
    <n v="31"/>
    <x v="1"/>
    <n v="25"/>
    <x v="0"/>
    <n v="73"/>
    <x v="1"/>
  </r>
  <r>
    <n v="25"/>
    <x v="1"/>
    <n v="54"/>
    <x v="3"/>
    <n v="28"/>
    <x v="0"/>
    <n v="14"/>
    <x v="2"/>
  </r>
  <r>
    <n v="26"/>
    <x v="0"/>
    <n v="29"/>
    <x v="1"/>
    <n v="28"/>
    <x v="0"/>
    <n v="82"/>
    <x v="1"/>
  </r>
  <r>
    <n v="27"/>
    <x v="1"/>
    <n v="45"/>
    <x v="3"/>
    <n v="28"/>
    <x v="0"/>
    <n v="32"/>
    <x v="2"/>
  </r>
  <r>
    <n v="28"/>
    <x v="0"/>
    <n v="35"/>
    <x v="1"/>
    <n v="28"/>
    <x v="0"/>
    <n v="61"/>
    <x v="0"/>
  </r>
  <r>
    <n v="29"/>
    <x v="1"/>
    <n v="40"/>
    <x v="1"/>
    <n v="29"/>
    <x v="0"/>
    <n v="31"/>
    <x v="2"/>
  </r>
  <r>
    <n v="30"/>
    <x v="1"/>
    <n v="23"/>
    <x v="0"/>
    <n v="29"/>
    <x v="0"/>
    <n v="87"/>
    <x v="1"/>
  </r>
  <r>
    <n v="31"/>
    <x v="0"/>
    <n v="60"/>
    <x v="3"/>
    <n v="30"/>
    <x v="0"/>
    <n v="4"/>
    <x v="2"/>
  </r>
  <r>
    <n v="32"/>
    <x v="1"/>
    <n v="21"/>
    <x v="0"/>
    <n v="30"/>
    <x v="0"/>
    <n v="73"/>
    <x v="1"/>
  </r>
  <r>
    <n v="33"/>
    <x v="0"/>
    <n v="53"/>
    <x v="3"/>
    <n v="33"/>
    <x v="1"/>
    <n v="4"/>
    <x v="2"/>
  </r>
  <r>
    <n v="34"/>
    <x v="0"/>
    <n v="18"/>
    <x v="0"/>
    <n v="33"/>
    <x v="1"/>
    <n v="92"/>
    <x v="1"/>
  </r>
  <r>
    <n v="35"/>
    <x v="1"/>
    <n v="49"/>
    <x v="3"/>
    <n v="33"/>
    <x v="1"/>
    <n v="14"/>
    <x v="2"/>
  </r>
  <r>
    <n v="36"/>
    <x v="1"/>
    <n v="21"/>
    <x v="0"/>
    <n v="33"/>
    <x v="1"/>
    <n v="81"/>
    <x v="1"/>
  </r>
  <r>
    <n v="37"/>
    <x v="1"/>
    <n v="42"/>
    <x v="3"/>
    <n v="34"/>
    <x v="1"/>
    <n v="17"/>
    <x v="2"/>
  </r>
  <r>
    <n v="38"/>
    <x v="1"/>
    <n v="30"/>
    <x v="1"/>
    <n v="34"/>
    <x v="1"/>
    <n v="73"/>
    <x v="1"/>
  </r>
  <r>
    <n v="39"/>
    <x v="1"/>
    <n v="36"/>
    <x v="1"/>
    <n v="37"/>
    <x v="1"/>
    <n v="26"/>
    <x v="2"/>
  </r>
  <r>
    <n v="40"/>
    <x v="1"/>
    <n v="20"/>
    <x v="0"/>
    <n v="37"/>
    <x v="1"/>
    <n v="75"/>
    <x v="1"/>
  </r>
  <r>
    <n v="41"/>
    <x v="1"/>
    <n v="65"/>
    <x v="2"/>
    <n v="38"/>
    <x v="1"/>
    <n v="35"/>
    <x v="0"/>
  </r>
  <r>
    <n v="42"/>
    <x v="0"/>
    <n v="24"/>
    <x v="0"/>
    <n v="38"/>
    <x v="1"/>
    <n v="92"/>
    <x v="1"/>
  </r>
  <r>
    <n v="43"/>
    <x v="0"/>
    <n v="48"/>
    <x v="3"/>
    <n v="39"/>
    <x v="1"/>
    <n v="36"/>
    <x v="0"/>
  </r>
  <r>
    <n v="44"/>
    <x v="1"/>
    <n v="31"/>
    <x v="1"/>
    <n v="39"/>
    <x v="1"/>
    <n v="61"/>
    <x v="0"/>
  </r>
  <r>
    <n v="45"/>
    <x v="1"/>
    <n v="49"/>
    <x v="3"/>
    <n v="39"/>
    <x v="1"/>
    <n v="28"/>
    <x v="2"/>
  </r>
  <r>
    <n v="46"/>
    <x v="1"/>
    <n v="24"/>
    <x v="0"/>
    <n v="39"/>
    <x v="1"/>
    <n v="65"/>
    <x v="0"/>
  </r>
  <r>
    <n v="47"/>
    <x v="1"/>
    <n v="50"/>
    <x v="3"/>
    <n v="40"/>
    <x v="1"/>
    <n v="55"/>
    <x v="0"/>
  </r>
  <r>
    <n v="48"/>
    <x v="1"/>
    <n v="27"/>
    <x v="1"/>
    <n v="40"/>
    <x v="1"/>
    <n v="47"/>
    <x v="0"/>
  </r>
  <r>
    <n v="49"/>
    <x v="1"/>
    <n v="29"/>
    <x v="1"/>
    <n v="40"/>
    <x v="1"/>
    <n v="42"/>
    <x v="0"/>
  </r>
  <r>
    <n v="50"/>
    <x v="1"/>
    <n v="31"/>
    <x v="1"/>
    <n v="40"/>
    <x v="1"/>
    <n v="42"/>
    <x v="0"/>
  </r>
  <r>
    <n v="51"/>
    <x v="1"/>
    <n v="49"/>
    <x v="3"/>
    <n v="42"/>
    <x v="1"/>
    <n v="52"/>
    <x v="0"/>
  </r>
  <r>
    <n v="52"/>
    <x v="0"/>
    <n v="33"/>
    <x v="1"/>
    <n v="42"/>
    <x v="1"/>
    <n v="60"/>
    <x v="0"/>
  </r>
  <r>
    <n v="53"/>
    <x v="1"/>
    <n v="31"/>
    <x v="1"/>
    <n v="43"/>
    <x v="1"/>
    <n v="54"/>
    <x v="0"/>
  </r>
  <r>
    <n v="54"/>
    <x v="0"/>
    <n v="59"/>
    <x v="3"/>
    <n v="43"/>
    <x v="1"/>
    <n v="60"/>
    <x v="0"/>
  </r>
  <r>
    <n v="55"/>
    <x v="1"/>
    <n v="50"/>
    <x v="3"/>
    <n v="43"/>
    <x v="1"/>
    <n v="45"/>
    <x v="0"/>
  </r>
  <r>
    <n v="56"/>
    <x v="0"/>
    <n v="47"/>
    <x v="3"/>
    <n v="43"/>
    <x v="1"/>
    <n v="41"/>
    <x v="0"/>
  </r>
  <r>
    <n v="57"/>
    <x v="1"/>
    <n v="51"/>
    <x v="3"/>
    <n v="44"/>
    <x v="1"/>
    <n v="50"/>
    <x v="0"/>
  </r>
  <r>
    <n v="58"/>
    <x v="0"/>
    <n v="69"/>
    <x v="2"/>
    <n v="44"/>
    <x v="1"/>
    <n v="46"/>
    <x v="0"/>
  </r>
  <r>
    <n v="59"/>
    <x v="1"/>
    <n v="27"/>
    <x v="1"/>
    <n v="46"/>
    <x v="1"/>
    <n v="51"/>
    <x v="0"/>
  </r>
  <r>
    <n v="60"/>
    <x v="0"/>
    <n v="53"/>
    <x v="3"/>
    <n v="46"/>
    <x v="1"/>
    <n v="46"/>
    <x v="0"/>
  </r>
  <r>
    <n v="61"/>
    <x v="0"/>
    <n v="70"/>
    <x v="2"/>
    <n v="46"/>
    <x v="1"/>
    <n v="56"/>
    <x v="0"/>
  </r>
  <r>
    <n v="62"/>
    <x v="0"/>
    <n v="19"/>
    <x v="0"/>
    <n v="46"/>
    <x v="1"/>
    <n v="55"/>
    <x v="0"/>
  </r>
  <r>
    <n v="63"/>
    <x v="1"/>
    <n v="67"/>
    <x v="2"/>
    <n v="47"/>
    <x v="1"/>
    <n v="52"/>
    <x v="0"/>
  </r>
  <r>
    <n v="64"/>
    <x v="1"/>
    <n v="54"/>
    <x v="3"/>
    <n v="47"/>
    <x v="1"/>
    <n v="59"/>
    <x v="0"/>
  </r>
  <r>
    <n v="65"/>
    <x v="0"/>
    <n v="63"/>
    <x v="2"/>
    <n v="48"/>
    <x v="1"/>
    <n v="51"/>
    <x v="0"/>
  </r>
  <r>
    <n v="66"/>
    <x v="0"/>
    <n v="18"/>
    <x v="0"/>
    <n v="48"/>
    <x v="1"/>
    <n v="59"/>
    <x v="0"/>
  </r>
  <r>
    <n v="67"/>
    <x v="1"/>
    <n v="43"/>
    <x v="3"/>
    <n v="48"/>
    <x v="1"/>
    <n v="50"/>
    <x v="0"/>
  </r>
  <r>
    <n v="68"/>
    <x v="1"/>
    <n v="68"/>
    <x v="2"/>
    <n v="48"/>
    <x v="1"/>
    <n v="48"/>
    <x v="0"/>
  </r>
  <r>
    <n v="69"/>
    <x v="0"/>
    <n v="19"/>
    <x v="0"/>
    <n v="48"/>
    <x v="1"/>
    <n v="59"/>
    <x v="0"/>
  </r>
  <r>
    <n v="70"/>
    <x v="1"/>
    <n v="32"/>
    <x v="1"/>
    <n v="48"/>
    <x v="1"/>
    <n v="47"/>
    <x v="0"/>
  </r>
  <r>
    <n v="71"/>
    <x v="0"/>
    <n v="70"/>
    <x v="2"/>
    <n v="49"/>
    <x v="1"/>
    <n v="55"/>
    <x v="0"/>
  </r>
  <r>
    <n v="72"/>
    <x v="1"/>
    <n v="47"/>
    <x v="3"/>
    <n v="49"/>
    <x v="1"/>
    <n v="42"/>
    <x v="0"/>
  </r>
  <r>
    <n v="73"/>
    <x v="1"/>
    <n v="60"/>
    <x v="3"/>
    <n v="50"/>
    <x v="1"/>
    <n v="49"/>
    <x v="0"/>
  </r>
  <r>
    <n v="74"/>
    <x v="1"/>
    <n v="60"/>
    <x v="3"/>
    <n v="50"/>
    <x v="1"/>
    <n v="56"/>
    <x v="0"/>
  </r>
  <r>
    <n v="75"/>
    <x v="0"/>
    <n v="59"/>
    <x v="3"/>
    <n v="54"/>
    <x v="1"/>
    <n v="47"/>
    <x v="0"/>
  </r>
  <r>
    <n v="76"/>
    <x v="0"/>
    <n v="26"/>
    <x v="1"/>
    <n v="54"/>
    <x v="1"/>
    <n v="54"/>
    <x v="0"/>
  </r>
  <r>
    <n v="77"/>
    <x v="1"/>
    <n v="45"/>
    <x v="3"/>
    <n v="54"/>
    <x v="1"/>
    <n v="53"/>
    <x v="0"/>
  </r>
  <r>
    <n v="78"/>
    <x v="0"/>
    <n v="40"/>
    <x v="1"/>
    <n v="54"/>
    <x v="1"/>
    <n v="48"/>
    <x v="0"/>
  </r>
  <r>
    <n v="79"/>
    <x v="1"/>
    <n v="23"/>
    <x v="0"/>
    <n v="54"/>
    <x v="1"/>
    <n v="52"/>
    <x v="0"/>
  </r>
  <r>
    <n v="80"/>
    <x v="1"/>
    <n v="49"/>
    <x v="3"/>
    <n v="54"/>
    <x v="1"/>
    <n v="42"/>
    <x v="0"/>
  </r>
  <r>
    <n v="81"/>
    <x v="0"/>
    <n v="57"/>
    <x v="3"/>
    <n v="54"/>
    <x v="1"/>
    <n v="51"/>
    <x v="0"/>
  </r>
  <r>
    <n v="82"/>
    <x v="0"/>
    <n v="38"/>
    <x v="1"/>
    <n v="54"/>
    <x v="1"/>
    <n v="55"/>
    <x v="0"/>
  </r>
  <r>
    <n v="83"/>
    <x v="0"/>
    <n v="67"/>
    <x v="2"/>
    <n v="54"/>
    <x v="1"/>
    <n v="41"/>
    <x v="0"/>
  </r>
  <r>
    <n v="84"/>
    <x v="1"/>
    <n v="46"/>
    <x v="3"/>
    <n v="54"/>
    <x v="1"/>
    <n v="44"/>
    <x v="0"/>
  </r>
  <r>
    <n v="85"/>
    <x v="1"/>
    <n v="21"/>
    <x v="0"/>
    <n v="54"/>
    <x v="1"/>
    <n v="57"/>
    <x v="0"/>
  </r>
  <r>
    <n v="86"/>
    <x v="0"/>
    <n v="48"/>
    <x v="3"/>
    <n v="54"/>
    <x v="1"/>
    <n v="46"/>
    <x v="0"/>
  </r>
  <r>
    <n v="87"/>
    <x v="1"/>
    <n v="55"/>
    <x v="3"/>
    <n v="57"/>
    <x v="1"/>
    <n v="58"/>
    <x v="0"/>
  </r>
  <r>
    <n v="88"/>
    <x v="1"/>
    <n v="22"/>
    <x v="0"/>
    <n v="57"/>
    <x v="1"/>
    <n v="55"/>
    <x v="0"/>
  </r>
  <r>
    <n v="89"/>
    <x v="1"/>
    <n v="34"/>
    <x v="1"/>
    <n v="58"/>
    <x v="1"/>
    <n v="60"/>
    <x v="0"/>
  </r>
  <r>
    <n v="90"/>
    <x v="1"/>
    <n v="50"/>
    <x v="3"/>
    <n v="58"/>
    <x v="1"/>
    <n v="46"/>
    <x v="0"/>
  </r>
  <r>
    <n v="91"/>
    <x v="1"/>
    <n v="68"/>
    <x v="2"/>
    <n v="59"/>
    <x v="1"/>
    <n v="55"/>
    <x v="0"/>
  </r>
  <r>
    <n v="92"/>
    <x v="0"/>
    <n v="18"/>
    <x v="0"/>
    <n v="59"/>
    <x v="1"/>
    <n v="41"/>
    <x v="0"/>
  </r>
  <r>
    <n v="93"/>
    <x v="0"/>
    <n v="48"/>
    <x v="3"/>
    <n v="60"/>
    <x v="1"/>
    <n v="49"/>
    <x v="0"/>
  </r>
  <r>
    <n v="94"/>
    <x v="1"/>
    <n v="40"/>
    <x v="1"/>
    <n v="60"/>
    <x v="1"/>
    <n v="40"/>
    <x v="0"/>
  </r>
  <r>
    <n v="95"/>
    <x v="1"/>
    <n v="32"/>
    <x v="1"/>
    <n v="60"/>
    <x v="1"/>
    <n v="42"/>
    <x v="0"/>
  </r>
  <r>
    <n v="96"/>
    <x v="0"/>
    <n v="24"/>
    <x v="0"/>
    <n v="60"/>
    <x v="1"/>
    <n v="52"/>
    <x v="0"/>
  </r>
  <r>
    <n v="97"/>
    <x v="1"/>
    <n v="47"/>
    <x v="3"/>
    <n v="60"/>
    <x v="1"/>
    <n v="47"/>
    <x v="0"/>
  </r>
  <r>
    <n v="98"/>
    <x v="1"/>
    <n v="27"/>
    <x v="1"/>
    <n v="60"/>
    <x v="1"/>
    <n v="50"/>
    <x v="0"/>
  </r>
  <r>
    <n v="99"/>
    <x v="0"/>
    <n v="48"/>
    <x v="3"/>
    <n v="61"/>
    <x v="2"/>
    <n v="42"/>
    <x v="0"/>
  </r>
  <r>
    <n v="100"/>
    <x v="0"/>
    <n v="20"/>
    <x v="0"/>
    <n v="61"/>
    <x v="2"/>
    <n v="49"/>
    <x v="0"/>
  </r>
  <r>
    <n v="101"/>
    <x v="1"/>
    <n v="23"/>
    <x v="0"/>
    <n v="62"/>
    <x v="2"/>
    <n v="41"/>
    <x v="0"/>
  </r>
  <r>
    <n v="102"/>
    <x v="1"/>
    <n v="49"/>
    <x v="3"/>
    <n v="62"/>
    <x v="2"/>
    <n v="48"/>
    <x v="0"/>
  </r>
  <r>
    <n v="103"/>
    <x v="0"/>
    <n v="67"/>
    <x v="2"/>
    <n v="62"/>
    <x v="2"/>
    <n v="59"/>
    <x v="0"/>
  </r>
  <r>
    <n v="104"/>
    <x v="0"/>
    <n v="26"/>
    <x v="1"/>
    <n v="62"/>
    <x v="2"/>
    <n v="55"/>
    <x v="0"/>
  </r>
  <r>
    <n v="105"/>
    <x v="0"/>
    <n v="49"/>
    <x v="3"/>
    <n v="62"/>
    <x v="2"/>
    <n v="56"/>
    <x v="0"/>
  </r>
  <r>
    <n v="106"/>
    <x v="1"/>
    <n v="21"/>
    <x v="0"/>
    <n v="62"/>
    <x v="2"/>
    <n v="42"/>
    <x v="0"/>
  </r>
  <r>
    <n v="107"/>
    <x v="1"/>
    <n v="66"/>
    <x v="2"/>
    <n v="63"/>
    <x v="2"/>
    <n v="50"/>
    <x v="0"/>
  </r>
  <r>
    <n v="108"/>
    <x v="0"/>
    <n v="54"/>
    <x v="3"/>
    <n v="63"/>
    <x v="2"/>
    <n v="46"/>
    <x v="0"/>
  </r>
  <r>
    <n v="109"/>
    <x v="0"/>
    <n v="68"/>
    <x v="2"/>
    <n v="63"/>
    <x v="2"/>
    <n v="43"/>
    <x v="0"/>
  </r>
  <r>
    <n v="110"/>
    <x v="0"/>
    <n v="66"/>
    <x v="2"/>
    <n v="63"/>
    <x v="2"/>
    <n v="48"/>
    <x v="0"/>
  </r>
  <r>
    <n v="111"/>
    <x v="0"/>
    <n v="65"/>
    <x v="2"/>
    <n v="63"/>
    <x v="2"/>
    <n v="52"/>
    <x v="0"/>
  </r>
  <r>
    <n v="112"/>
    <x v="1"/>
    <n v="19"/>
    <x v="0"/>
    <n v="63"/>
    <x v="2"/>
    <n v="54"/>
    <x v="0"/>
  </r>
  <r>
    <n v="113"/>
    <x v="1"/>
    <n v="38"/>
    <x v="1"/>
    <n v="64"/>
    <x v="2"/>
    <n v="42"/>
    <x v="0"/>
  </r>
  <r>
    <n v="114"/>
    <x v="0"/>
    <n v="19"/>
    <x v="0"/>
    <n v="64"/>
    <x v="2"/>
    <n v="46"/>
    <x v="0"/>
  </r>
  <r>
    <n v="115"/>
    <x v="1"/>
    <n v="18"/>
    <x v="0"/>
    <n v="65"/>
    <x v="2"/>
    <n v="48"/>
    <x v="0"/>
  </r>
  <r>
    <n v="116"/>
    <x v="1"/>
    <n v="19"/>
    <x v="0"/>
    <n v="65"/>
    <x v="2"/>
    <n v="50"/>
    <x v="0"/>
  </r>
  <r>
    <n v="117"/>
    <x v="1"/>
    <n v="63"/>
    <x v="2"/>
    <n v="65"/>
    <x v="2"/>
    <n v="43"/>
    <x v="0"/>
  </r>
  <r>
    <n v="118"/>
    <x v="1"/>
    <n v="49"/>
    <x v="3"/>
    <n v="65"/>
    <x v="2"/>
    <n v="59"/>
    <x v="0"/>
  </r>
  <r>
    <n v="119"/>
    <x v="1"/>
    <n v="51"/>
    <x v="3"/>
    <n v="67"/>
    <x v="2"/>
    <n v="43"/>
    <x v="0"/>
  </r>
  <r>
    <n v="120"/>
    <x v="1"/>
    <n v="50"/>
    <x v="3"/>
    <n v="67"/>
    <x v="2"/>
    <n v="57"/>
    <x v="0"/>
  </r>
  <r>
    <n v="121"/>
    <x v="0"/>
    <n v="27"/>
    <x v="1"/>
    <n v="67"/>
    <x v="2"/>
    <n v="56"/>
    <x v="0"/>
  </r>
  <r>
    <n v="122"/>
    <x v="1"/>
    <n v="38"/>
    <x v="1"/>
    <n v="67"/>
    <x v="2"/>
    <n v="40"/>
    <x v="0"/>
  </r>
  <r>
    <n v="123"/>
    <x v="1"/>
    <n v="40"/>
    <x v="1"/>
    <n v="69"/>
    <x v="2"/>
    <n v="58"/>
    <x v="0"/>
  </r>
  <r>
    <n v="124"/>
    <x v="0"/>
    <n v="39"/>
    <x v="1"/>
    <n v="69"/>
    <x v="2"/>
    <n v="91"/>
    <x v="1"/>
  </r>
  <r>
    <n v="125"/>
    <x v="1"/>
    <n v="23"/>
    <x v="0"/>
    <n v="70"/>
    <x v="2"/>
    <n v="29"/>
    <x v="2"/>
  </r>
  <r>
    <n v="126"/>
    <x v="1"/>
    <n v="31"/>
    <x v="1"/>
    <n v="70"/>
    <x v="2"/>
    <n v="77"/>
    <x v="1"/>
  </r>
  <r>
    <n v="127"/>
    <x v="0"/>
    <n v="43"/>
    <x v="3"/>
    <n v="71"/>
    <x v="2"/>
    <n v="35"/>
    <x v="0"/>
  </r>
  <r>
    <n v="128"/>
    <x v="0"/>
    <n v="40"/>
    <x v="1"/>
    <n v="71"/>
    <x v="2"/>
    <n v="95"/>
    <x v="1"/>
  </r>
  <r>
    <n v="129"/>
    <x v="0"/>
    <n v="59"/>
    <x v="3"/>
    <n v="71"/>
    <x v="2"/>
    <n v="11"/>
    <x v="2"/>
  </r>
  <r>
    <n v="130"/>
    <x v="0"/>
    <n v="38"/>
    <x v="1"/>
    <n v="71"/>
    <x v="2"/>
    <n v="75"/>
    <x v="1"/>
  </r>
  <r>
    <n v="131"/>
    <x v="0"/>
    <n v="47"/>
    <x v="3"/>
    <n v="71"/>
    <x v="2"/>
    <n v="9"/>
    <x v="2"/>
  </r>
  <r>
    <n v="132"/>
    <x v="0"/>
    <n v="39"/>
    <x v="1"/>
    <n v="71"/>
    <x v="2"/>
    <n v="75"/>
    <x v="1"/>
  </r>
  <r>
    <n v="133"/>
    <x v="1"/>
    <n v="25"/>
    <x v="0"/>
    <n v="72"/>
    <x v="2"/>
    <n v="34"/>
    <x v="0"/>
  </r>
  <r>
    <n v="134"/>
    <x v="1"/>
    <n v="31"/>
    <x v="1"/>
    <n v="72"/>
    <x v="2"/>
    <n v="71"/>
    <x v="1"/>
  </r>
  <r>
    <n v="135"/>
    <x v="0"/>
    <n v="20"/>
    <x v="0"/>
    <n v="73"/>
    <x v="2"/>
    <n v="5"/>
    <x v="2"/>
  </r>
  <r>
    <n v="136"/>
    <x v="1"/>
    <n v="29"/>
    <x v="1"/>
    <n v="73"/>
    <x v="2"/>
    <n v="88"/>
    <x v="1"/>
  </r>
  <r>
    <n v="137"/>
    <x v="1"/>
    <n v="44"/>
    <x v="3"/>
    <n v="73"/>
    <x v="2"/>
    <n v="7"/>
    <x v="2"/>
  </r>
  <r>
    <n v="138"/>
    <x v="0"/>
    <n v="32"/>
    <x v="1"/>
    <n v="73"/>
    <x v="2"/>
    <n v="73"/>
    <x v="1"/>
  </r>
  <r>
    <n v="139"/>
    <x v="0"/>
    <n v="19"/>
    <x v="0"/>
    <n v="74"/>
    <x v="2"/>
    <n v="10"/>
    <x v="2"/>
  </r>
  <r>
    <n v="140"/>
    <x v="1"/>
    <n v="35"/>
    <x v="1"/>
    <n v="74"/>
    <x v="2"/>
    <n v="72"/>
    <x v="1"/>
  </r>
  <r>
    <n v="141"/>
    <x v="1"/>
    <n v="57"/>
    <x v="3"/>
    <n v="75"/>
    <x v="2"/>
    <n v="5"/>
    <x v="2"/>
  </r>
  <r>
    <n v="142"/>
    <x v="0"/>
    <n v="32"/>
    <x v="1"/>
    <n v="75"/>
    <x v="2"/>
    <n v="93"/>
    <x v="1"/>
  </r>
  <r>
    <n v="143"/>
    <x v="1"/>
    <n v="28"/>
    <x v="1"/>
    <n v="76"/>
    <x v="2"/>
    <n v="40"/>
    <x v="0"/>
  </r>
  <r>
    <n v="144"/>
    <x v="1"/>
    <n v="32"/>
    <x v="1"/>
    <n v="76"/>
    <x v="2"/>
    <n v="87"/>
    <x v="1"/>
  </r>
  <r>
    <n v="145"/>
    <x v="0"/>
    <n v="25"/>
    <x v="0"/>
    <n v="77"/>
    <x v="2"/>
    <n v="12"/>
    <x v="2"/>
  </r>
  <r>
    <n v="146"/>
    <x v="0"/>
    <n v="28"/>
    <x v="1"/>
    <n v="77"/>
    <x v="2"/>
    <n v="97"/>
    <x v="1"/>
  </r>
  <r>
    <n v="147"/>
    <x v="0"/>
    <n v="48"/>
    <x v="3"/>
    <n v="77"/>
    <x v="2"/>
    <n v="36"/>
    <x v="0"/>
  </r>
  <r>
    <n v="148"/>
    <x v="1"/>
    <n v="32"/>
    <x v="1"/>
    <n v="77"/>
    <x v="2"/>
    <n v="74"/>
    <x v="1"/>
  </r>
  <r>
    <n v="149"/>
    <x v="1"/>
    <n v="34"/>
    <x v="1"/>
    <n v="78"/>
    <x v="2"/>
    <n v="22"/>
    <x v="2"/>
  </r>
  <r>
    <n v="150"/>
    <x v="0"/>
    <n v="34"/>
    <x v="1"/>
    <n v="78"/>
    <x v="2"/>
    <n v="90"/>
    <x v="1"/>
  </r>
  <r>
    <n v="151"/>
    <x v="0"/>
    <n v="43"/>
    <x v="3"/>
    <n v="78"/>
    <x v="2"/>
    <n v="17"/>
    <x v="2"/>
  </r>
  <r>
    <n v="152"/>
    <x v="0"/>
    <n v="39"/>
    <x v="1"/>
    <n v="78"/>
    <x v="2"/>
    <n v="88"/>
    <x v="1"/>
  </r>
  <r>
    <n v="153"/>
    <x v="1"/>
    <n v="44"/>
    <x v="3"/>
    <n v="78"/>
    <x v="2"/>
    <n v="20"/>
    <x v="2"/>
  </r>
  <r>
    <n v="154"/>
    <x v="1"/>
    <n v="38"/>
    <x v="1"/>
    <n v="78"/>
    <x v="2"/>
    <n v="76"/>
    <x v="1"/>
  </r>
  <r>
    <n v="155"/>
    <x v="1"/>
    <n v="47"/>
    <x v="3"/>
    <n v="78"/>
    <x v="2"/>
    <n v="16"/>
    <x v="2"/>
  </r>
  <r>
    <n v="156"/>
    <x v="1"/>
    <n v="27"/>
    <x v="1"/>
    <n v="78"/>
    <x v="2"/>
    <n v="89"/>
    <x v="1"/>
  </r>
  <r>
    <n v="157"/>
    <x v="0"/>
    <n v="37"/>
    <x v="1"/>
    <n v="78"/>
    <x v="2"/>
    <n v="1"/>
    <x v="2"/>
  </r>
  <r>
    <n v="158"/>
    <x v="1"/>
    <n v="30"/>
    <x v="1"/>
    <n v="78"/>
    <x v="2"/>
    <n v="78"/>
    <x v="1"/>
  </r>
  <r>
    <n v="159"/>
    <x v="0"/>
    <n v="34"/>
    <x v="1"/>
    <n v="78"/>
    <x v="2"/>
    <n v="1"/>
    <x v="2"/>
  </r>
  <r>
    <n v="160"/>
    <x v="1"/>
    <n v="30"/>
    <x v="1"/>
    <n v="78"/>
    <x v="2"/>
    <n v="73"/>
    <x v="1"/>
  </r>
  <r>
    <n v="161"/>
    <x v="1"/>
    <n v="56"/>
    <x v="3"/>
    <n v="79"/>
    <x v="2"/>
    <n v="35"/>
    <x v="0"/>
  </r>
  <r>
    <n v="162"/>
    <x v="1"/>
    <n v="29"/>
    <x v="1"/>
    <n v="79"/>
    <x v="2"/>
    <n v="83"/>
    <x v="1"/>
  </r>
  <r>
    <n v="163"/>
    <x v="0"/>
    <n v="19"/>
    <x v="0"/>
    <n v="81"/>
    <x v="2"/>
    <n v="5"/>
    <x v="2"/>
  </r>
  <r>
    <n v="164"/>
    <x v="1"/>
    <n v="31"/>
    <x v="1"/>
    <n v="81"/>
    <x v="2"/>
    <n v="93"/>
    <x v="1"/>
  </r>
  <r>
    <n v="165"/>
    <x v="0"/>
    <n v="50"/>
    <x v="3"/>
    <n v="85"/>
    <x v="2"/>
    <n v="26"/>
    <x v="2"/>
  </r>
  <r>
    <n v="166"/>
    <x v="1"/>
    <n v="36"/>
    <x v="1"/>
    <n v="85"/>
    <x v="2"/>
    <n v="75"/>
    <x v="1"/>
  </r>
  <r>
    <n v="167"/>
    <x v="0"/>
    <n v="42"/>
    <x v="3"/>
    <n v="86"/>
    <x v="2"/>
    <n v="20"/>
    <x v="2"/>
  </r>
  <r>
    <n v="168"/>
    <x v="1"/>
    <n v="33"/>
    <x v="1"/>
    <n v="86"/>
    <x v="2"/>
    <n v="95"/>
    <x v="1"/>
  </r>
  <r>
    <n v="169"/>
    <x v="1"/>
    <n v="36"/>
    <x v="1"/>
    <n v="87"/>
    <x v="2"/>
    <n v="27"/>
    <x v="2"/>
  </r>
  <r>
    <n v="170"/>
    <x v="0"/>
    <n v="32"/>
    <x v="1"/>
    <n v="87"/>
    <x v="2"/>
    <n v="63"/>
    <x v="0"/>
  </r>
  <r>
    <n v="171"/>
    <x v="0"/>
    <n v="40"/>
    <x v="1"/>
    <n v="87"/>
    <x v="2"/>
    <n v="13"/>
    <x v="2"/>
  </r>
  <r>
    <n v="172"/>
    <x v="0"/>
    <n v="28"/>
    <x v="1"/>
    <n v="87"/>
    <x v="2"/>
    <n v="75"/>
    <x v="1"/>
  </r>
  <r>
    <n v="173"/>
    <x v="0"/>
    <n v="36"/>
    <x v="1"/>
    <n v="87"/>
    <x v="2"/>
    <n v="10"/>
    <x v="2"/>
  </r>
  <r>
    <n v="174"/>
    <x v="0"/>
    <n v="36"/>
    <x v="1"/>
    <n v="87"/>
    <x v="2"/>
    <n v="92"/>
    <x v="1"/>
  </r>
  <r>
    <n v="175"/>
    <x v="1"/>
    <n v="52"/>
    <x v="3"/>
    <n v="88"/>
    <x v="2"/>
    <n v="13"/>
    <x v="2"/>
  </r>
  <r>
    <n v="176"/>
    <x v="1"/>
    <n v="30"/>
    <x v="1"/>
    <n v="88"/>
    <x v="2"/>
    <n v="86"/>
    <x v="1"/>
  </r>
  <r>
    <n v="177"/>
    <x v="0"/>
    <n v="58"/>
    <x v="3"/>
    <n v="88"/>
    <x v="2"/>
    <n v="15"/>
    <x v="2"/>
  </r>
  <r>
    <n v="178"/>
    <x v="0"/>
    <n v="27"/>
    <x v="1"/>
    <n v="88"/>
    <x v="2"/>
    <n v="69"/>
    <x v="1"/>
  </r>
  <r>
    <n v="179"/>
    <x v="0"/>
    <n v="59"/>
    <x v="3"/>
    <n v="93"/>
    <x v="3"/>
    <n v="14"/>
    <x v="2"/>
  </r>
  <r>
    <n v="180"/>
    <x v="0"/>
    <n v="35"/>
    <x v="1"/>
    <n v="93"/>
    <x v="3"/>
    <n v="90"/>
    <x v="1"/>
  </r>
  <r>
    <n v="181"/>
    <x v="1"/>
    <n v="37"/>
    <x v="1"/>
    <n v="97"/>
    <x v="3"/>
    <n v="32"/>
    <x v="2"/>
  </r>
  <r>
    <n v="182"/>
    <x v="1"/>
    <n v="32"/>
    <x v="1"/>
    <n v="97"/>
    <x v="3"/>
    <n v="86"/>
    <x v="1"/>
  </r>
  <r>
    <n v="183"/>
    <x v="0"/>
    <n v="46"/>
    <x v="3"/>
    <n v="98"/>
    <x v="3"/>
    <n v="15"/>
    <x v="2"/>
  </r>
  <r>
    <n v="184"/>
    <x v="1"/>
    <n v="29"/>
    <x v="1"/>
    <n v="98"/>
    <x v="3"/>
    <n v="88"/>
    <x v="1"/>
  </r>
  <r>
    <n v="185"/>
    <x v="1"/>
    <n v="41"/>
    <x v="3"/>
    <n v="99"/>
    <x v="3"/>
    <n v="39"/>
    <x v="0"/>
  </r>
  <r>
    <n v="186"/>
    <x v="0"/>
    <n v="30"/>
    <x v="1"/>
    <n v="99"/>
    <x v="3"/>
    <n v="97"/>
    <x v="1"/>
  </r>
  <r>
    <n v="187"/>
    <x v="1"/>
    <n v="54"/>
    <x v="3"/>
    <n v="101"/>
    <x v="3"/>
    <n v="24"/>
    <x v="2"/>
  </r>
  <r>
    <n v="188"/>
    <x v="0"/>
    <n v="28"/>
    <x v="1"/>
    <n v="101"/>
    <x v="3"/>
    <n v="68"/>
    <x v="1"/>
  </r>
  <r>
    <n v="189"/>
    <x v="1"/>
    <n v="41"/>
    <x v="3"/>
    <n v="103"/>
    <x v="3"/>
    <n v="17"/>
    <x v="2"/>
  </r>
  <r>
    <n v="190"/>
    <x v="1"/>
    <n v="36"/>
    <x v="1"/>
    <n v="103"/>
    <x v="3"/>
    <n v="85"/>
    <x v="1"/>
  </r>
  <r>
    <n v="191"/>
    <x v="1"/>
    <n v="34"/>
    <x v="1"/>
    <n v="103"/>
    <x v="3"/>
    <n v="23"/>
    <x v="2"/>
  </r>
  <r>
    <n v="192"/>
    <x v="1"/>
    <n v="32"/>
    <x v="1"/>
    <n v="103"/>
    <x v="3"/>
    <n v="69"/>
    <x v="1"/>
  </r>
  <r>
    <n v="193"/>
    <x v="0"/>
    <n v="33"/>
    <x v="1"/>
    <n v="113"/>
    <x v="3"/>
    <n v="8"/>
    <x v="2"/>
  </r>
  <r>
    <n v="194"/>
    <x v="1"/>
    <n v="38"/>
    <x v="1"/>
    <n v="113"/>
    <x v="3"/>
    <n v="91"/>
    <x v="1"/>
  </r>
  <r>
    <n v="195"/>
    <x v="1"/>
    <n v="47"/>
    <x v="3"/>
    <n v="120"/>
    <x v="3"/>
    <n v="16"/>
    <x v="2"/>
  </r>
  <r>
    <n v="196"/>
    <x v="1"/>
    <n v="35"/>
    <x v="1"/>
    <n v="120"/>
    <x v="3"/>
    <n v="79"/>
    <x v="1"/>
  </r>
  <r>
    <n v="197"/>
    <x v="1"/>
    <n v="45"/>
    <x v="3"/>
    <n v="126"/>
    <x v="3"/>
    <n v="28"/>
    <x v="2"/>
  </r>
  <r>
    <n v="198"/>
    <x v="0"/>
    <n v="32"/>
    <x v="1"/>
    <n v="126"/>
    <x v="3"/>
    <n v="74"/>
    <x v="1"/>
  </r>
  <r>
    <n v="199"/>
    <x v="0"/>
    <n v="32"/>
    <x v="1"/>
    <n v="137"/>
    <x v="3"/>
    <n v="18"/>
    <x v="2"/>
  </r>
  <r>
    <n v="200"/>
    <x v="0"/>
    <n v="30"/>
    <x v="1"/>
    <n v="137"/>
    <x v="3"/>
    <n v="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49922-3AD7-47D0-9C13-EE33FEC8AD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10" firstHeaderRow="0" firstDataRow="1" firstDataCol="0"/>
  <pivotFields count="8">
    <pivotField dataField="1" showAll="0"/>
    <pivotField showAll="0">
      <items count="3">
        <item x="1"/>
        <item x="0"/>
        <item t="default"/>
      </items>
    </pivotField>
    <pivotField dataField="1" showAll="0"/>
    <pivotField showAll="0">
      <items count="5">
        <item x="1"/>
        <item x="3"/>
        <item x="2"/>
        <item x="0"/>
        <item t="default"/>
      </items>
    </pivotField>
    <pivotField dataField="1" showAll="0"/>
    <pivotField showAll="0">
      <items count="5">
        <item x="2"/>
        <item x="0"/>
        <item x="1"/>
        <item x="3"/>
        <item t="default"/>
      </items>
    </pivotField>
    <pivotField dataField="1" showAll="0"/>
    <pivotField showAll="0"/>
  </pivotFields>
  <rowItems count="1">
    <i/>
  </rowItems>
  <colFields count="1">
    <field x="-2"/>
  </colFields>
  <colItems count="4">
    <i>
      <x/>
    </i>
    <i i="1">
      <x v="1"/>
    </i>
    <i i="2">
      <x v="2"/>
    </i>
    <i i="3">
      <x v="3"/>
    </i>
  </colItems>
  <dataFields count="4">
    <dataField name="Count of CustomerID" fld="0" subtotal="count" baseField="0" baseItem="0"/>
    <dataField name="Average of Age" fld="2" subtotal="average" baseField="0" baseItem="1" numFmtId="1"/>
    <dataField name="Average of Annual Income (k$)" fld="4" subtotal="average" baseField="0" baseItem="1" numFmtId="170"/>
    <dataField name="Average of Spending Score (1-100)" fld="6" subtotal="average" baseField="0" baseItem="1" numFmtId="1"/>
  </dataFields>
  <formats count="3">
    <format dxfId="13">
      <pivotArea outline="0" collapsedLevelsAreSubtotals="1" fieldPosition="0">
        <references count="1">
          <reference field="4294967294" count="1" selected="0">
            <x v="3"/>
          </reference>
        </references>
      </pivotArea>
    </format>
    <format dxfId="11">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BB12C-ED9D-4989-844F-058481780E5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pending Cate">
  <location ref="J2:K6" firstHeaderRow="1" firstDataRow="1" firstDataCol="1"/>
  <pivotFields count="8">
    <pivotField dataField="1" showAll="0"/>
    <pivotField showAll="0">
      <items count="3">
        <item x="1"/>
        <item x="0"/>
        <item t="default"/>
      </items>
    </pivotField>
    <pivotField showAll="0"/>
    <pivotField showAll="0">
      <items count="5">
        <item x="1"/>
        <item x="3"/>
        <item x="2"/>
        <item x="0"/>
        <item t="default"/>
      </items>
    </pivotField>
    <pivotField showAll="0"/>
    <pivotField showAll="0">
      <items count="5">
        <item x="2"/>
        <item x="0"/>
        <item x="1"/>
        <item x="3"/>
        <item t="default"/>
      </items>
    </pivotField>
    <pivotField showAll="0"/>
    <pivotField axis="axisRow" showAll="0">
      <items count="4">
        <item x="1"/>
        <item x="2"/>
        <item x="0"/>
        <item t="default"/>
      </items>
    </pivotField>
  </pivotFields>
  <rowFields count="1">
    <field x="7"/>
  </rowFields>
  <rowItems count="4">
    <i>
      <x/>
    </i>
    <i>
      <x v="1"/>
    </i>
    <i>
      <x v="2"/>
    </i>
    <i t="grand">
      <x/>
    </i>
  </rowItems>
  <colItems count="1">
    <i/>
  </colItems>
  <dataFields count="1">
    <dataField name="Count of CustomerID" fld="0" subtotal="count" baseField="7" baseItem="1"/>
  </dataFields>
  <formats count="1">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E700C-AF5A-4724-807E-22BDE24B630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Range">
  <location ref="G2:H7" firstHeaderRow="1" firstDataRow="1" firstDataCol="1"/>
  <pivotFields count="8">
    <pivotField dataField="1" showAll="0"/>
    <pivotField showAll="0">
      <items count="3">
        <item x="1"/>
        <item x="0"/>
        <item t="default"/>
      </items>
    </pivotField>
    <pivotField showAll="0"/>
    <pivotField showAll="0">
      <items count="5">
        <item x="1"/>
        <item x="3"/>
        <item x="2"/>
        <item x="0"/>
        <item t="default"/>
      </items>
    </pivotField>
    <pivotField showAll="0"/>
    <pivotField axis="axisRow" showAll="0">
      <items count="5">
        <item x="2"/>
        <item x="0"/>
        <item x="1"/>
        <item x="3"/>
        <item t="default"/>
      </items>
    </pivotField>
    <pivotField showAll="0"/>
    <pivotField showAll="0"/>
  </pivotFields>
  <rowFields count="1">
    <field x="5"/>
  </rowFields>
  <rowItems count="5">
    <i>
      <x/>
    </i>
    <i>
      <x v="1"/>
    </i>
    <i>
      <x v="2"/>
    </i>
    <i>
      <x v="3"/>
    </i>
    <i t="grand">
      <x/>
    </i>
  </rowItems>
  <colItems count="1">
    <i/>
  </colItems>
  <dataFields count="1">
    <dataField name="Count of CustomerID" fld="0" subtotal="count" baseField="5" baseItem="1"/>
  </dataFields>
  <formats count="1">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7C06A1-CF57-45BC-BEA7-B0A2A147E8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D2:E7" firstHeaderRow="1" firstDataRow="1" firstDataCol="1"/>
  <pivotFields count="8">
    <pivotField dataField="1" showAll="0"/>
    <pivotField showAll="0">
      <items count="3">
        <item x="1"/>
        <item x="0"/>
        <item t="default"/>
      </items>
    </pivotField>
    <pivotField showAll="0"/>
    <pivotField axis="axisRow" showAll="0">
      <items count="5">
        <item x="1"/>
        <item x="3"/>
        <item x="2"/>
        <item x="0"/>
        <item t="default"/>
      </items>
    </pivotField>
    <pivotField showAll="0"/>
    <pivotField showAll="0">
      <items count="5">
        <item x="2"/>
        <item x="0"/>
        <item x="1"/>
        <item x="3"/>
        <item t="default"/>
      </items>
    </pivotField>
    <pivotField showAll="0"/>
    <pivotField showAll="0"/>
  </pivotFields>
  <rowFields count="1">
    <field x="3"/>
  </rowFields>
  <rowItems count="5">
    <i>
      <x/>
    </i>
    <i>
      <x v="1"/>
    </i>
    <i>
      <x v="2"/>
    </i>
    <i>
      <x v="3"/>
    </i>
    <i t="grand">
      <x/>
    </i>
  </rowItems>
  <colItems count="1">
    <i/>
  </colItems>
  <dataFields count="1">
    <dataField name="Count of CustomerID" fld="0" subtotal="count" baseField="3"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BDCF5-E73A-4F54-B8DE-8494849A169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2:U5" firstHeaderRow="0" firstDataRow="1" firstDataCol="1"/>
  <pivotFields count="8">
    <pivotField showAll="0"/>
    <pivotField axis="axisRow" showAll="0">
      <items count="3">
        <item x="1"/>
        <item x="0"/>
        <item t="default"/>
      </items>
    </pivotField>
    <pivotField showAll="0"/>
    <pivotField showAll="0">
      <items count="5">
        <item x="1"/>
        <item x="3"/>
        <item x="2"/>
        <item x="0"/>
        <item t="default"/>
      </items>
    </pivotField>
    <pivotField dataField="1" showAll="0"/>
    <pivotField showAll="0">
      <items count="5">
        <item x="2"/>
        <item x="0"/>
        <item x="1"/>
        <item x="3"/>
        <item t="default"/>
      </items>
    </pivotField>
    <pivotField dataField="1" showAll="0"/>
    <pivotField showAll="0"/>
  </pivotFields>
  <rowFields count="1">
    <field x="1"/>
  </rowFields>
  <rowItems count="3">
    <i>
      <x/>
    </i>
    <i>
      <x v="1"/>
    </i>
    <i t="grand">
      <x/>
    </i>
  </rowItems>
  <colFields count="1">
    <field x="-2"/>
  </colFields>
  <colItems count="2">
    <i>
      <x/>
    </i>
    <i i="1">
      <x v="1"/>
    </i>
  </colItems>
  <dataFields count="2">
    <dataField name="Average of Spending Score (1-100)" fld="6" subtotal="average" baseField="1" baseItem="0"/>
    <dataField name="Average of Annual Income (k$)" fld="4" subtotal="average" baseField="1" baseItem="0"/>
  </dataFields>
  <formats count="1">
    <format dxfId="2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61870-3170-488A-91A1-D50A42D91A4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come Range">
  <location ref="P2:Q7" firstHeaderRow="1" firstDataRow="1" firstDataCol="1"/>
  <pivotFields count="8">
    <pivotField showAll="0"/>
    <pivotField showAll="0">
      <items count="3">
        <item x="1"/>
        <item x="0"/>
        <item t="default"/>
      </items>
    </pivotField>
    <pivotField showAll="0"/>
    <pivotField showAll="0">
      <items count="5">
        <item x="1"/>
        <item x="3"/>
        <item x="2"/>
        <item x="0"/>
        <item t="default"/>
      </items>
    </pivotField>
    <pivotField showAll="0"/>
    <pivotField axis="axisRow" showAll="0">
      <items count="5">
        <item x="2"/>
        <item x="0"/>
        <item x="1"/>
        <item x="3"/>
        <item t="default"/>
      </items>
    </pivotField>
    <pivotField dataField="1" showAll="0"/>
    <pivotField showAll="0"/>
  </pivotFields>
  <rowFields count="1">
    <field x="5"/>
  </rowFields>
  <rowItems count="5">
    <i>
      <x/>
    </i>
    <i>
      <x v="1"/>
    </i>
    <i>
      <x v="2"/>
    </i>
    <i>
      <x v="3"/>
    </i>
    <i t="grand">
      <x/>
    </i>
  </rowItems>
  <colItems count="1">
    <i/>
  </colItems>
  <dataFields count="1">
    <dataField name="Average of Spending Score (1-100)" fld="6" subtotal="average" baseField="5" baseItem="0" numFmtId="1"/>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F3E10-0DB4-4850-8933-E28CFF4C651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re">
  <location ref="A2:B5" firstHeaderRow="1" firstDataRow="1" firstDataCol="1"/>
  <pivotFields count="8">
    <pivotField showAll="0"/>
    <pivotField axis="axisRow" dataField="1" showAll="0">
      <items count="3">
        <item x="1"/>
        <item x="0"/>
        <item t="default"/>
      </items>
    </pivotField>
    <pivotField showAll="0"/>
    <pivotField showAll="0">
      <items count="5">
        <item x="1"/>
        <item x="3"/>
        <item x="2"/>
        <item x="0"/>
        <item t="default"/>
      </items>
    </pivotField>
    <pivotField showAll="0"/>
    <pivotField showAll="0">
      <items count="5">
        <item x="2"/>
        <item x="0"/>
        <item x="1"/>
        <item x="3"/>
        <item t="default"/>
      </items>
    </pivotField>
    <pivotField showAll="0"/>
    <pivotField showAll="0"/>
  </pivotFields>
  <rowFields count="1">
    <field x="1"/>
  </rowFields>
  <rowItems count="3">
    <i>
      <x/>
    </i>
    <i>
      <x v="1"/>
    </i>
    <i t="grand">
      <x/>
    </i>
  </rowItems>
  <colItems count="1">
    <i/>
  </colItems>
  <dataFields count="1">
    <dataField name="Count of Genre" fld="1" subtotal="count" baseField="0" baseItem="0"/>
  </dataFields>
  <chartFormats count="6">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16E9A1-A0DD-44C7-8258-9629C73818C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M2:N7" firstHeaderRow="1" firstDataRow="1" firstDataCol="1"/>
  <pivotFields count="8">
    <pivotField showAll="0"/>
    <pivotField showAll="0">
      <items count="3">
        <item x="1"/>
        <item x="0"/>
        <item t="default"/>
      </items>
    </pivotField>
    <pivotField showAll="0"/>
    <pivotField axis="axisRow" showAll="0">
      <items count="5">
        <item x="1"/>
        <item x="3"/>
        <item x="2"/>
        <item x="0"/>
        <item t="default"/>
      </items>
    </pivotField>
    <pivotField showAll="0"/>
    <pivotField showAll="0">
      <items count="5">
        <item x="2"/>
        <item x="0"/>
        <item x="1"/>
        <item x="3"/>
        <item t="default"/>
      </items>
    </pivotField>
    <pivotField dataField="1" showAll="0"/>
    <pivotField showAll="0"/>
  </pivotFields>
  <rowFields count="1">
    <field x="3"/>
  </rowFields>
  <rowItems count="5">
    <i>
      <x/>
    </i>
    <i>
      <x v="1"/>
    </i>
    <i>
      <x v="2"/>
    </i>
    <i>
      <x v="3"/>
    </i>
    <i t="grand">
      <x/>
    </i>
  </rowItems>
  <colItems count="1">
    <i/>
  </colItems>
  <dataFields count="1">
    <dataField name="Average of Spending Score (1-100)" fld="6" subtotal="average" baseField="3" baseItem="0" numFmtId="1"/>
  </dataFields>
  <formats count="1">
    <format dxfId="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CA57E13-B2D0-4167-99C4-FE4FEA433E6F}" sourceName="Genre">
  <pivotTables>
    <pivotTable tabId="2" name="PivotTable8"/>
    <pivotTable tabId="2" name="PivotTable2"/>
    <pivotTable tabId="2" name="PivotTable3"/>
    <pivotTable tabId="2" name="PivotTable4"/>
    <pivotTable tabId="2" name="PivotTable5"/>
    <pivotTable tabId="2" name="PivotTable7"/>
    <pivotTable tabId="2" name="PivotTable9"/>
    <pivotTable tabId="2" name="PivotTable1"/>
  </pivotTables>
  <data>
    <tabular pivotCacheId="6953462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59AF8E2-FFCE-494F-B600-2668566B9566}" sourceName="Age Group">
  <pivotTables>
    <pivotTable tabId="2" name="PivotTable8"/>
    <pivotTable tabId="2" name="PivotTable2"/>
    <pivotTable tabId="2" name="PivotTable3"/>
    <pivotTable tabId="2" name="PivotTable4"/>
    <pivotTable tabId="2" name="PivotTable5"/>
    <pivotTable tabId="2" name="PivotTable7"/>
    <pivotTable tabId="2" name="PivotTable9"/>
    <pivotTable tabId="2" name="PivotTable1"/>
  </pivotTables>
  <data>
    <tabular pivotCacheId="695346216">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Range" xr10:uid="{EA44B9AA-AA57-4860-80C5-7333695E81CC}" sourceName="Income Range">
  <pivotTables>
    <pivotTable tabId="2" name="PivotTable8"/>
    <pivotTable tabId="2" name="PivotTable2"/>
    <pivotTable tabId="2" name="PivotTable3"/>
    <pivotTable tabId="2" name="PivotTable4"/>
    <pivotTable tabId="2" name="PivotTable5"/>
    <pivotTable tabId="2" name="PivotTable7"/>
    <pivotTable tabId="2" name="PivotTable9"/>
    <pivotTable tabId="2" name="PivotTable1"/>
  </pivotTables>
  <data>
    <tabular pivotCacheId="69534621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B7886E3C-0B8D-45EF-8E67-13CF31D89A2F}" cache="Slicer_Genre" caption="Genre" style="SlicerStyleOther2" rowHeight="241300"/>
  <slicer name="Age Group" xr10:uid="{B70D9E3F-4BAE-4C19-80B4-061640916B51}" cache="Slicer_Age_Group" caption="Age Group" rowHeight="241300"/>
  <slicer name="Income Range" xr10:uid="{AC8C4C1B-9DE8-4425-93EB-B9EC76ACA2A7}" cache="Slicer_Income_Range" caption="Income Ran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8086-1B59-4351-AD84-6104AA509AC0}">
  <dimension ref="A2:U10"/>
  <sheetViews>
    <sheetView workbookViewId="0">
      <selection activeCell="C24" sqref="C24"/>
    </sheetView>
  </sheetViews>
  <sheetFormatPr defaultRowHeight="15" x14ac:dyDescent="0.25"/>
  <cols>
    <col min="1" max="1" width="19.7109375" bestFit="1" customWidth="1"/>
    <col min="2" max="2" width="14.5703125" bestFit="1" customWidth="1"/>
    <col min="3" max="3" width="28.7109375" bestFit="1" customWidth="1"/>
    <col min="4" max="4" width="31.85546875" bestFit="1" customWidth="1"/>
    <col min="5" max="5" width="19.7109375" bestFit="1" customWidth="1"/>
    <col min="7" max="7" width="15.85546875" bestFit="1" customWidth="1"/>
    <col min="8" max="8" width="19.7109375" bestFit="1" customWidth="1"/>
    <col min="10" max="10" width="16.140625" bestFit="1" customWidth="1"/>
    <col min="11" max="11" width="19.7109375" bestFit="1" customWidth="1"/>
    <col min="13" max="13" width="12.7109375" bestFit="1" customWidth="1"/>
    <col min="14" max="14" width="31.85546875" bestFit="1" customWidth="1"/>
    <col min="16" max="16" width="15.85546875" bestFit="1" customWidth="1"/>
    <col min="17" max="17" width="31.85546875" bestFit="1" customWidth="1"/>
    <col min="19" max="19" width="13.140625" bestFit="1" customWidth="1"/>
    <col min="20" max="20" width="31.85546875" bestFit="1" customWidth="1"/>
    <col min="21" max="21" width="28.7109375" bestFit="1" customWidth="1"/>
  </cols>
  <sheetData>
    <row r="2" spans="1:21" x14ac:dyDescent="0.25">
      <c r="A2" s="1" t="s">
        <v>1</v>
      </c>
      <c r="B2" t="s">
        <v>9</v>
      </c>
      <c r="D2" s="1" t="s">
        <v>25</v>
      </c>
      <c r="E2" t="s">
        <v>17</v>
      </c>
      <c r="G2" s="1" t="s">
        <v>11</v>
      </c>
      <c r="H2" t="s">
        <v>17</v>
      </c>
      <c r="J2" s="1" t="s">
        <v>24</v>
      </c>
      <c r="K2" t="s">
        <v>17</v>
      </c>
      <c r="M2" s="1" t="s">
        <v>10</v>
      </c>
      <c r="N2" t="s">
        <v>22</v>
      </c>
      <c r="P2" s="1" t="s">
        <v>11</v>
      </c>
      <c r="Q2" t="s">
        <v>22</v>
      </c>
      <c r="S2" s="1" t="s">
        <v>7</v>
      </c>
      <c r="T2" t="s">
        <v>22</v>
      </c>
      <c r="U2" t="s">
        <v>23</v>
      </c>
    </row>
    <row r="3" spans="1:21" x14ac:dyDescent="0.25">
      <c r="A3" s="2" t="s">
        <v>6</v>
      </c>
      <c r="B3" s="4">
        <v>112</v>
      </c>
      <c r="D3" s="2" t="s">
        <v>13</v>
      </c>
      <c r="E3" s="4">
        <v>84</v>
      </c>
      <c r="G3" s="2" t="s">
        <v>18</v>
      </c>
      <c r="H3" s="3">
        <v>80</v>
      </c>
      <c r="J3" s="2" t="s">
        <v>18</v>
      </c>
      <c r="K3" s="3">
        <v>57</v>
      </c>
      <c r="M3" s="2" t="s">
        <v>13</v>
      </c>
      <c r="N3" s="3">
        <v>61.261904761904759</v>
      </c>
      <c r="P3" s="2" t="s">
        <v>18</v>
      </c>
      <c r="Q3" s="3">
        <v>49.924999999999997</v>
      </c>
      <c r="S3" s="2" t="s">
        <v>6</v>
      </c>
      <c r="T3" s="3">
        <v>51.526785714285715</v>
      </c>
      <c r="U3" s="3">
        <v>59.25</v>
      </c>
    </row>
    <row r="4" spans="1:21" x14ac:dyDescent="0.25">
      <c r="A4" s="2" t="s">
        <v>5</v>
      </c>
      <c r="B4" s="4">
        <v>88</v>
      </c>
      <c r="D4" s="2" t="s">
        <v>14</v>
      </c>
      <c r="E4" s="4">
        <v>61</v>
      </c>
      <c r="G4" s="2" t="s">
        <v>19</v>
      </c>
      <c r="H4" s="3">
        <v>32</v>
      </c>
      <c r="J4" s="2" t="s">
        <v>19</v>
      </c>
      <c r="K4" s="3">
        <v>49</v>
      </c>
      <c r="M4" s="2" t="s">
        <v>14</v>
      </c>
      <c r="N4" s="3">
        <v>33.688524590163937</v>
      </c>
      <c r="P4" s="2" t="s">
        <v>19</v>
      </c>
      <c r="Q4" s="3">
        <v>49.65625</v>
      </c>
      <c r="S4" s="2" t="s">
        <v>5</v>
      </c>
      <c r="T4" s="3">
        <v>48.511363636363633</v>
      </c>
      <c r="U4" s="3">
        <v>62.227272727272727</v>
      </c>
    </row>
    <row r="5" spans="1:21" x14ac:dyDescent="0.25">
      <c r="A5" s="2" t="s">
        <v>8</v>
      </c>
      <c r="B5" s="4">
        <v>200</v>
      </c>
      <c r="D5" s="2" t="s">
        <v>15</v>
      </c>
      <c r="E5" s="4">
        <v>17</v>
      </c>
      <c r="G5" s="2" t="s">
        <v>20</v>
      </c>
      <c r="H5" s="3">
        <v>66</v>
      </c>
      <c r="J5" s="2" t="s">
        <v>20</v>
      </c>
      <c r="K5" s="3">
        <v>94</v>
      </c>
      <c r="M5" s="2" t="s">
        <v>15</v>
      </c>
      <c r="N5" s="3">
        <v>44.176470588235297</v>
      </c>
      <c r="P5" s="2" t="s">
        <v>20</v>
      </c>
      <c r="Q5" s="3">
        <v>50.196969696969695</v>
      </c>
      <c r="S5" s="2" t="s">
        <v>8</v>
      </c>
      <c r="T5" s="3">
        <v>50.2</v>
      </c>
      <c r="U5" s="3">
        <v>60.56</v>
      </c>
    </row>
    <row r="6" spans="1:21" x14ac:dyDescent="0.25">
      <c r="D6" s="2" t="s">
        <v>16</v>
      </c>
      <c r="E6" s="4">
        <v>38</v>
      </c>
      <c r="G6" s="2" t="s">
        <v>21</v>
      </c>
      <c r="H6" s="3">
        <v>22</v>
      </c>
      <c r="J6" s="2" t="s">
        <v>8</v>
      </c>
      <c r="K6" s="3">
        <v>200</v>
      </c>
      <c r="M6" s="2" t="s">
        <v>16</v>
      </c>
      <c r="N6" s="3">
        <v>54.94736842105263</v>
      </c>
      <c r="P6" s="2" t="s">
        <v>21</v>
      </c>
      <c r="Q6" s="3">
        <v>52</v>
      </c>
    </row>
    <row r="7" spans="1:21" x14ac:dyDescent="0.25">
      <c r="D7" s="2" t="s">
        <v>8</v>
      </c>
      <c r="E7" s="4">
        <v>200</v>
      </c>
      <c r="G7" s="2" t="s">
        <v>8</v>
      </c>
      <c r="H7" s="3">
        <v>200</v>
      </c>
      <c r="M7" s="2" t="s">
        <v>8</v>
      </c>
      <c r="N7" s="3">
        <v>50.2</v>
      </c>
      <c r="P7" s="2" t="s">
        <v>8</v>
      </c>
      <c r="Q7" s="3">
        <v>50.2</v>
      </c>
    </row>
    <row r="9" spans="1:21" x14ac:dyDescent="0.25">
      <c r="A9" t="s">
        <v>17</v>
      </c>
      <c r="B9" t="s">
        <v>26</v>
      </c>
      <c r="C9" t="s">
        <v>23</v>
      </c>
      <c r="D9" t="s">
        <v>22</v>
      </c>
    </row>
    <row r="10" spans="1:21" x14ac:dyDescent="0.25">
      <c r="A10" s="4">
        <v>200</v>
      </c>
      <c r="B10" s="3">
        <v>38.85</v>
      </c>
      <c r="C10" s="5">
        <v>60.56</v>
      </c>
      <c r="D10" s="3">
        <v>50.2</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25F7-0E29-4BC7-8DD1-45E96C2BA316}">
  <dimension ref="A1"/>
  <sheetViews>
    <sheetView showGridLines="0" tabSelected="1" workbookViewId="0">
      <selection activeCell="F29" sqref="F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9FE3-700A-4AB9-B8AB-F79B64AB0258}">
  <sheetPr codeName="Sheet1"/>
  <dimension ref="A1:H201"/>
  <sheetViews>
    <sheetView workbookViewId="0">
      <selection activeCell="B2" sqref="B2"/>
    </sheetView>
  </sheetViews>
  <sheetFormatPr defaultRowHeight="15" x14ac:dyDescent="0.25"/>
  <sheetData>
    <row r="1" spans="1:8" x14ac:dyDescent="0.25">
      <c r="A1" t="s">
        <v>0</v>
      </c>
      <c r="B1" t="s">
        <v>1</v>
      </c>
      <c r="C1" t="s">
        <v>2</v>
      </c>
      <c r="D1" t="s">
        <v>10</v>
      </c>
      <c r="E1" t="s">
        <v>3</v>
      </c>
      <c r="F1" t="s">
        <v>11</v>
      </c>
      <c r="G1" t="s">
        <v>4</v>
      </c>
      <c r="H1" t="s">
        <v>12</v>
      </c>
    </row>
    <row r="2" spans="1:8" x14ac:dyDescent="0.25">
      <c r="A2">
        <v>1</v>
      </c>
      <c r="B2" t="s">
        <v>5</v>
      </c>
      <c r="C2">
        <v>19</v>
      </c>
      <c r="D2" t="str">
        <f>IF(C2&lt;=25,"Young",IF(C2&lt;=40,"Adult",IF(C2&lt;=60,"Middle-Aged","Senior ")))</f>
        <v>Young</v>
      </c>
      <c r="E2">
        <v>15</v>
      </c>
      <c r="F2" t="str">
        <f>IF(E2&lt;=30,"Low",IF(E2&lt;=60,"Medium",IF(E2&lt;=90,"High","Very High ")))</f>
        <v>Low</v>
      </c>
      <c r="G2">
        <v>39</v>
      </c>
      <c r="H2" t="str">
        <f>IF(G2&lt;=33,"Low",IF(G2&lt;=66,"Medium","High"))</f>
        <v>Medium</v>
      </c>
    </row>
    <row r="3" spans="1:8" x14ac:dyDescent="0.25">
      <c r="A3">
        <v>2</v>
      </c>
      <c r="B3" t="s">
        <v>5</v>
      </c>
      <c r="C3">
        <v>21</v>
      </c>
      <c r="D3" t="str">
        <f t="shared" ref="D3:D66" si="0">IF(C3&lt;=25,"Young",IF(C3&lt;=40,"Adult",IF(C3&lt;=60,"Middle-Aged","Senior ")))</f>
        <v>Young</v>
      </c>
      <c r="E3">
        <v>15</v>
      </c>
      <c r="F3" t="str">
        <f t="shared" ref="F3:F66" si="1">IF(E3&lt;=30,"Low",IF(E3&lt;=60,"Medium",IF(E3&lt;=90,"High","Very High ")))</f>
        <v>Low</v>
      </c>
      <c r="G3">
        <v>81</v>
      </c>
      <c r="H3" t="str">
        <f t="shared" ref="H3:H66" si="2">IF(G3&lt;=33,"Low",IF(G3&lt;=66,"Medium","High"))</f>
        <v>High</v>
      </c>
    </row>
    <row r="4" spans="1:8" x14ac:dyDescent="0.25">
      <c r="A4">
        <v>3</v>
      </c>
      <c r="B4" t="s">
        <v>6</v>
      </c>
      <c r="C4">
        <v>20</v>
      </c>
      <c r="D4" t="str">
        <f t="shared" si="0"/>
        <v>Young</v>
      </c>
      <c r="E4">
        <v>16</v>
      </c>
      <c r="F4" t="str">
        <f t="shared" si="1"/>
        <v>Low</v>
      </c>
      <c r="G4">
        <v>6</v>
      </c>
      <c r="H4" t="str">
        <f t="shared" si="2"/>
        <v>Low</v>
      </c>
    </row>
    <row r="5" spans="1:8" x14ac:dyDescent="0.25">
      <c r="A5">
        <v>4</v>
      </c>
      <c r="B5" t="s">
        <v>6</v>
      </c>
      <c r="C5">
        <v>23</v>
      </c>
      <c r="D5" t="str">
        <f t="shared" si="0"/>
        <v>Young</v>
      </c>
      <c r="E5">
        <v>16</v>
      </c>
      <c r="F5" t="str">
        <f t="shared" si="1"/>
        <v>Low</v>
      </c>
      <c r="G5">
        <v>77</v>
      </c>
      <c r="H5" t="str">
        <f t="shared" si="2"/>
        <v>High</v>
      </c>
    </row>
    <row r="6" spans="1:8" x14ac:dyDescent="0.25">
      <c r="A6">
        <v>5</v>
      </c>
      <c r="B6" t="s">
        <v>6</v>
      </c>
      <c r="C6">
        <v>31</v>
      </c>
      <c r="D6" t="str">
        <f t="shared" si="0"/>
        <v>Adult</v>
      </c>
      <c r="E6">
        <v>17</v>
      </c>
      <c r="F6" t="str">
        <f t="shared" si="1"/>
        <v>Low</v>
      </c>
      <c r="G6">
        <v>40</v>
      </c>
      <c r="H6" t="str">
        <f t="shared" si="2"/>
        <v>Medium</v>
      </c>
    </row>
    <row r="7" spans="1:8" x14ac:dyDescent="0.25">
      <c r="A7">
        <v>6</v>
      </c>
      <c r="B7" t="s">
        <v>6</v>
      </c>
      <c r="C7">
        <v>22</v>
      </c>
      <c r="D7" t="str">
        <f t="shared" si="0"/>
        <v>Young</v>
      </c>
      <c r="E7">
        <v>17</v>
      </c>
      <c r="F7" t="str">
        <f t="shared" si="1"/>
        <v>Low</v>
      </c>
      <c r="G7">
        <v>76</v>
      </c>
      <c r="H7" t="str">
        <f t="shared" si="2"/>
        <v>High</v>
      </c>
    </row>
    <row r="8" spans="1:8" x14ac:dyDescent="0.25">
      <c r="A8">
        <v>7</v>
      </c>
      <c r="B8" t="s">
        <v>6</v>
      </c>
      <c r="C8">
        <v>35</v>
      </c>
      <c r="D8" t="str">
        <f t="shared" si="0"/>
        <v>Adult</v>
      </c>
      <c r="E8">
        <v>18</v>
      </c>
      <c r="F8" t="str">
        <f t="shared" si="1"/>
        <v>Low</v>
      </c>
      <c r="G8">
        <v>6</v>
      </c>
      <c r="H8" t="str">
        <f t="shared" si="2"/>
        <v>Low</v>
      </c>
    </row>
    <row r="9" spans="1:8" x14ac:dyDescent="0.25">
      <c r="A9">
        <v>8</v>
      </c>
      <c r="B9" t="s">
        <v>6</v>
      </c>
      <c r="C9">
        <v>23</v>
      </c>
      <c r="D9" t="str">
        <f t="shared" si="0"/>
        <v>Young</v>
      </c>
      <c r="E9">
        <v>18</v>
      </c>
      <c r="F9" t="str">
        <f t="shared" si="1"/>
        <v>Low</v>
      </c>
      <c r="G9">
        <v>94</v>
      </c>
      <c r="H9" t="str">
        <f t="shared" si="2"/>
        <v>High</v>
      </c>
    </row>
    <row r="10" spans="1:8" x14ac:dyDescent="0.25">
      <c r="A10">
        <v>9</v>
      </c>
      <c r="B10" t="s">
        <v>5</v>
      </c>
      <c r="C10">
        <v>64</v>
      </c>
      <c r="D10" t="str">
        <f t="shared" si="0"/>
        <v xml:space="preserve">Senior </v>
      </c>
      <c r="E10">
        <v>19</v>
      </c>
      <c r="F10" t="str">
        <f t="shared" si="1"/>
        <v>Low</v>
      </c>
      <c r="G10">
        <v>3</v>
      </c>
      <c r="H10" t="str">
        <f t="shared" si="2"/>
        <v>Low</v>
      </c>
    </row>
    <row r="11" spans="1:8" x14ac:dyDescent="0.25">
      <c r="A11">
        <v>10</v>
      </c>
      <c r="B11" t="s">
        <v>6</v>
      </c>
      <c r="C11">
        <v>30</v>
      </c>
      <c r="D11" t="str">
        <f t="shared" si="0"/>
        <v>Adult</v>
      </c>
      <c r="E11">
        <v>19</v>
      </c>
      <c r="F11" t="str">
        <f t="shared" si="1"/>
        <v>Low</v>
      </c>
      <c r="G11">
        <v>72</v>
      </c>
      <c r="H11" t="str">
        <f t="shared" si="2"/>
        <v>High</v>
      </c>
    </row>
    <row r="12" spans="1:8" x14ac:dyDescent="0.25">
      <c r="A12">
        <v>11</v>
      </c>
      <c r="B12" t="s">
        <v>5</v>
      </c>
      <c r="C12">
        <v>67</v>
      </c>
      <c r="D12" t="str">
        <f t="shared" si="0"/>
        <v xml:space="preserve">Senior </v>
      </c>
      <c r="E12">
        <v>19</v>
      </c>
      <c r="F12" t="str">
        <f t="shared" si="1"/>
        <v>Low</v>
      </c>
      <c r="G12">
        <v>14</v>
      </c>
      <c r="H12" t="str">
        <f t="shared" si="2"/>
        <v>Low</v>
      </c>
    </row>
    <row r="13" spans="1:8" x14ac:dyDescent="0.25">
      <c r="A13">
        <v>12</v>
      </c>
      <c r="B13" t="s">
        <v>6</v>
      </c>
      <c r="C13">
        <v>35</v>
      </c>
      <c r="D13" t="str">
        <f t="shared" si="0"/>
        <v>Adult</v>
      </c>
      <c r="E13">
        <v>19</v>
      </c>
      <c r="F13" t="str">
        <f t="shared" si="1"/>
        <v>Low</v>
      </c>
      <c r="G13">
        <v>99</v>
      </c>
      <c r="H13" t="str">
        <f t="shared" si="2"/>
        <v>High</v>
      </c>
    </row>
    <row r="14" spans="1:8" x14ac:dyDescent="0.25">
      <c r="A14">
        <v>13</v>
      </c>
      <c r="B14" t="s">
        <v>6</v>
      </c>
      <c r="C14">
        <v>58</v>
      </c>
      <c r="D14" t="str">
        <f t="shared" si="0"/>
        <v>Middle-Aged</v>
      </c>
      <c r="E14">
        <v>20</v>
      </c>
      <c r="F14" t="str">
        <f t="shared" si="1"/>
        <v>Low</v>
      </c>
      <c r="G14">
        <v>15</v>
      </c>
      <c r="H14" t="str">
        <f t="shared" si="2"/>
        <v>Low</v>
      </c>
    </row>
    <row r="15" spans="1:8" x14ac:dyDescent="0.25">
      <c r="A15">
        <v>14</v>
      </c>
      <c r="B15" t="s">
        <v>6</v>
      </c>
      <c r="C15">
        <v>24</v>
      </c>
      <c r="D15" t="str">
        <f t="shared" si="0"/>
        <v>Young</v>
      </c>
      <c r="E15">
        <v>20</v>
      </c>
      <c r="F15" t="str">
        <f t="shared" si="1"/>
        <v>Low</v>
      </c>
      <c r="G15">
        <v>77</v>
      </c>
      <c r="H15" t="str">
        <f t="shared" si="2"/>
        <v>High</v>
      </c>
    </row>
    <row r="16" spans="1:8" x14ac:dyDescent="0.25">
      <c r="A16">
        <v>15</v>
      </c>
      <c r="B16" t="s">
        <v>5</v>
      </c>
      <c r="C16">
        <v>37</v>
      </c>
      <c r="D16" t="str">
        <f t="shared" si="0"/>
        <v>Adult</v>
      </c>
      <c r="E16">
        <v>20</v>
      </c>
      <c r="F16" t="str">
        <f t="shared" si="1"/>
        <v>Low</v>
      </c>
      <c r="G16">
        <v>13</v>
      </c>
      <c r="H16" t="str">
        <f t="shared" si="2"/>
        <v>Low</v>
      </c>
    </row>
    <row r="17" spans="1:8" x14ac:dyDescent="0.25">
      <c r="A17">
        <v>16</v>
      </c>
      <c r="B17" t="s">
        <v>5</v>
      </c>
      <c r="C17">
        <v>22</v>
      </c>
      <c r="D17" t="str">
        <f t="shared" si="0"/>
        <v>Young</v>
      </c>
      <c r="E17">
        <v>20</v>
      </c>
      <c r="F17" t="str">
        <f t="shared" si="1"/>
        <v>Low</v>
      </c>
      <c r="G17">
        <v>79</v>
      </c>
      <c r="H17" t="str">
        <f t="shared" si="2"/>
        <v>High</v>
      </c>
    </row>
    <row r="18" spans="1:8" x14ac:dyDescent="0.25">
      <c r="A18">
        <v>17</v>
      </c>
      <c r="B18" t="s">
        <v>6</v>
      </c>
      <c r="C18">
        <v>35</v>
      </c>
      <c r="D18" t="str">
        <f t="shared" si="0"/>
        <v>Adult</v>
      </c>
      <c r="E18">
        <v>21</v>
      </c>
      <c r="F18" t="str">
        <f t="shared" si="1"/>
        <v>Low</v>
      </c>
      <c r="G18">
        <v>35</v>
      </c>
      <c r="H18" t="str">
        <f t="shared" si="2"/>
        <v>Medium</v>
      </c>
    </row>
    <row r="19" spans="1:8" x14ac:dyDescent="0.25">
      <c r="A19">
        <v>18</v>
      </c>
      <c r="B19" t="s">
        <v>5</v>
      </c>
      <c r="C19">
        <v>20</v>
      </c>
      <c r="D19" t="str">
        <f t="shared" si="0"/>
        <v>Young</v>
      </c>
      <c r="E19">
        <v>21</v>
      </c>
      <c r="F19" t="str">
        <f t="shared" si="1"/>
        <v>Low</v>
      </c>
      <c r="G19">
        <v>66</v>
      </c>
      <c r="H19" t="str">
        <f t="shared" si="2"/>
        <v>Medium</v>
      </c>
    </row>
    <row r="20" spans="1:8" x14ac:dyDescent="0.25">
      <c r="A20">
        <v>19</v>
      </c>
      <c r="B20" t="s">
        <v>5</v>
      </c>
      <c r="C20">
        <v>52</v>
      </c>
      <c r="D20" t="str">
        <f t="shared" si="0"/>
        <v>Middle-Aged</v>
      </c>
      <c r="E20">
        <v>23</v>
      </c>
      <c r="F20" t="str">
        <f t="shared" si="1"/>
        <v>Low</v>
      </c>
      <c r="G20">
        <v>29</v>
      </c>
      <c r="H20" t="str">
        <f t="shared" si="2"/>
        <v>Low</v>
      </c>
    </row>
    <row r="21" spans="1:8" x14ac:dyDescent="0.25">
      <c r="A21">
        <v>20</v>
      </c>
      <c r="B21" t="s">
        <v>6</v>
      </c>
      <c r="C21">
        <v>35</v>
      </c>
      <c r="D21" t="str">
        <f t="shared" si="0"/>
        <v>Adult</v>
      </c>
      <c r="E21">
        <v>23</v>
      </c>
      <c r="F21" t="str">
        <f t="shared" si="1"/>
        <v>Low</v>
      </c>
      <c r="G21">
        <v>98</v>
      </c>
      <c r="H21" t="str">
        <f t="shared" si="2"/>
        <v>High</v>
      </c>
    </row>
    <row r="22" spans="1:8" x14ac:dyDescent="0.25">
      <c r="A22">
        <v>21</v>
      </c>
      <c r="B22" t="s">
        <v>5</v>
      </c>
      <c r="C22">
        <v>35</v>
      </c>
      <c r="D22" t="str">
        <f t="shared" si="0"/>
        <v>Adult</v>
      </c>
      <c r="E22">
        <v>24</v>
      </c>
      <c r="F22" t="str">
        <f t="shared" si="1"/>
        <v>Low</v>
      </c>
      <c r="G22">
        <v>35</v>
      </c>
      <c r="H22" t="str">
        <f t="shared" si="2"/>
        <v>Medium</v>
      </c>
    </row>
    <row r="23" spans="1:8" x14ac:dyDescent="0.25">
      <c r="A23">
        <v>22</v>
      </c>
      <c r="B23" t="s">
        <v>5</v>
      </c>
      <c r="C23">
        <v>25</v>
      </c>
      <c r="D23" t="str">
        <f t="shared" si="0"/>
        <v>Young</v>
      </c>
      <c r="E23">
        <v>24</v>
      </c>
      <c r="F23" t="str">
        <f t="shared" si="1"/>
        <v>Low</v>
      </c>
      <c r="G23">
        <v>73</v>
      </c>
      <c r="H23" t="str">
        <f t="shared" si="2"/>
        <v>High</v>
      </c>
    </row>
    <row r="24" spans="1:8" x14ac:dyDescent="0.25">
      <c r="A24">
        <v>23</v>
      </c>
      <c r="B24" t="s">
        <v>6</v>
      </c>
      <c r="C24">
        <v>46</v>
      </c>
      <c r="D24" t="str">
        <f t="shared" si="0"/>
        <v>Middle-Aged</v>
      </c>
      <c r="E24">
        <v>25</v>
      </c>
      <c r="F24" t="str">
        <f t="shared" si="1"/>
        <v>Low</v>
      </c>
      <c r="G24">
        <v>5</v>
      </c>
      <c r="H24" t="str">
        <f t="shared" si="2"/>
        <v>Low</v>
      </c>
    </row>
    <row r="25" spans="1:8" x14ac:dyDescent="0.25">
      <c r="A25">
        <v>24</v>
      </c>
      <c r="B25" t="s">
        <v>5</v>
      </c>
      <c r="C25">
        <v>31</v>
      </c>
      <c r="D25" t="str">
        <f t="shared" si="0"/>
        <v>Adult</v>
      </c>
      <c r="E25">
        <v>25</v>
      </c>
      <c r="F25" t="str">
        <f t="shared" si="1"/>
        <v>Low</v>
      </c>
      <c r="G25">
        <v>73</v>
      </c>
      <c r="H25" t="str">
        <f t="shared" si="2"/>
        <v>High</v>
      </c>
    </row>
    <row r="26" spans="1:8" x14ac:dyDescent="0.25">
      <c r="A26">
        <v>25</v>
      </c>
      <c r="B26" t="s">
        <v>6</v>
      </c>
      <c r="C26">
        <v>54</v>
      </c>
      <c r="D26" t="str">
        <f t="shared" si="0"/>
        <v>Middle-Aged</v>
      </c>
      <c r="E26">
        <v>28</v>
      </c>
      <c r="F26" t="str">
        <f t="shared" si="1"/>
        <v>Low</v>
      </c>
      <c r="G26">
        <v>14</v>
      </c>
      <c r="H26" t="str">
        <f t="shared" si="2"/>
        <v>Low</v>
      </c>
    </row>
    <row r="27" spans="1:8" x14ac:dyDescent="0.25">
      <c r="A27">
        <v>26</v>
      </c>
      <c r="B27" t="s">
        <v>5</v>
      </c>
      <c r="C27">
        <v>29</v>
      </c>
      <c r="D27" t="str">
        <f t="shared" si="0"/>
        <v>Adult</v>
      </c>
      <c r="E27">
        <v>28</v>
      </c>
      <c r="F27" t="str">
        <f t="shared" si="1"/>
        <v>Low</v>
      </c>
      <c r="G27">
        <v>82</v>
      </c>
      <c r="H27" t="str">
        <f t="shared" si="2"/>
        <v>High</v>
      </c>
    </row>
    <row r="28" spans="1:8" x14ac:dyDescent="0.25">
      <c r="A28">
        <v>27</v>
      </c>
      <c r="B28" t="s">
        <v>6</v>
      </c>
      <c r="C28">
        <v>45</v>
      </c>
      <c r="D28" t="str">
        <f t="shared" si="0"/>
        <v>Middle-Aged</v>
      </c>
      <c r="E28">
        <v>28</v>
      </c>
      <c r="F28" t="str">
        <f t="shared" si="1"/>
        <v>Low</v>
      </c>
      <c r="G28">
        <v>32</v>
      </c>
      <c r="H28" t="str">
        <f t="shared" si="2"/>
        <v>Low</v>
      </c>
    </row>
    <row r="29" spans="1:8" x14ac:dyDescent="0.25">
      <c r="A29">
        <v>28</v>
      </c>
      <c r="B29" t="s">
        <v>5</v>
      </c>
      <c r="C29">
        <v>35</v>
      </c>
      <c r="D29" t="str">
        <f t="shared" si="0"/>
        <v>Adult</v>
      </c>
      <c r="E29">
        <v>28</v>
      </c>
      <c r="F29" t="str">
        <f t="shared" si="1"/>
        <v>Low</v>
      </c>
      <c r="G29">
        <v>61</v>
      </c>
      <c r="H29" t="str">
        <f t="shared" si="2"/>
        <v>Medium</v>
      </c>
    </row>
    <row r="30" spans="1:8" x14ac:dyDescent="0.25">
      <c r="A30">
        <v>29</v>
      </c>
      <c r="B30" t="s">
        <v>6</v>
      </c>
      <c r="C30">
        <v>40</v>
      </c>
      <c r="D30" t="str">
        <f t="shared" si="0"/>
        <v>Adult</v>
      </c>
      <c r="E30">
        <v>29</v>
      </c>
      <c r="F30" t="str">
        <f t="shared" si="1"/>
        <v>Low</v>
      </c>
      <c r="G30">
        <v>31</v>
      </c>
      <c r="H30" t="str">
        <f t="shared" si="2"/>
        <v>Low</v>
      </c>
    </row>
    <row r="31" spans="1:8" x14ac:dyDescent="0.25">
      <c r="A31">
        <v>30</v>
      </c>
      <c r="B31" t="s">
        <v>6</v>
      </c>
      <c r="C31">
        <v>23</v>
      </c>
      <c r="D31" t="str">
        <f t="shared" si="0"/>
        <v>Young</v>
      </c>
      <c r="E31">
        <v>29</v>
      </c>
      <c r="F31" t="str">
        <f t="shared" si="1"/>
        <v>Low</v>
      </c>
      <c r="G31">
        <v>87</v>
      </c>
      <c r="H31" t="str">
        <f t="shared" si="2"/>
        <v>High</v>
      </c>
    </row>
    <row r="32" spans="1:8" x14ac:dyDescent="0.25">
      <c r="A32">
        <v>31</v>
      </c>
      <c r="B32" t="s">
        <v>5</v>
      </c>
      <c r="C32">
        <v>60</v>
      </c>
      <c r="D32" t="str">
        <f t="shared" si="0"/>
        <v>Middle-Aged</v>
      </c>
      <c r="E32">
        <v>30</v>
      </c>
      <c r="F32" t="str">
        <f t="shared" si="1"/>
        <v>Low</v>
      </c>
      <c r="G32">
        <v>4</v>
      </c>
      <c r="H32" t="str">
        <f t="shared" si="2"/>
        <v>Low</v>
      </c>
    </row>
    <row r="33" spans="1:8" x14ac:dyDescent="0.25">
      <c r="A33">
        <v>32</v>
      </c>
      <c r="B33" t="s">
        <v>6</v>
      </c>
      <c r="C33">
        <v>21</v>
      </c>
      <c r="D33" t="str">
        <f t="shared" si="0"/>
        <v>Young</v>
      </c>
      <c r="E33">
        <v>30</v>
      </c>
      <c r="F33" t="str">
        <f t="shared" si="1"/>
        <v>Low</v>
      </c>
      <c r="G33">
        <v>73</v>
      </c>
      <c r="H33" t="str">
        <f t="shared" si="2"/>
        <v>High</v>
      </c>
    </row>
    <row r="34" spans="1:8" x14ac:dyDescent="0.25">
      <c r="A34">
        <v>33</v>
      </c>
      <c r="B34" t="s">
        <v>5</v>
      </c>
      <c r="C34">
        <v>53</v>
      </c>
      <c r="D34" t="str">
        <f t="shared" si="0"/>
        <v>Middle-Aged</v>
      </c>
      <c r="E34">
        <v>33</v>
      </c>
      <c r="F34" t="str">
        <f t="shared" si="1"/>
        <v>Medium</v>
      </c>
      <c r="G34">
        <v>4</v>
      </c>
      <c r="H34" t="str">
        <f t="shared" si="2"/>
        <v>Low</v>
      </c>
    </row>
    <row r="35" spans="1:8" x14ac:dyDescent="0.25">
      <c r="A35">
        <v>34</v>
      </c>
      <c r="B35" t="s">
        <v>5</v>
      </c>
      <c r="C35">
        <v>18</v>
      </c>
      <c r="D35" t="str">
        <f t="shared" si="0"/>
        <v>Young</v>
      </c>
      <c r="E35">
        <v>33</v>
      </c>
      <c r="F35" t="str">
        <f t="shared" si="1"/>
        <v>Medium</v>
      </c>
      <c r="G35">
        <v>92</v>
      </c>
      <c r="H35" t="str">
        <f t="shared" si="2"/>
        <v>High</v>
      </c>
    </row>
    <row r="36" spans="1:8" x14ac:dyDescent="0.25">
      <c r="A36">
        <v>35</v>
      </c>
      <c r="B36" t="s">
        <v>6</v>
      </c>
      <c r="C36">
        <v>49</v>
      </c>
      <c r="D36" t="str">
        <f t="shared" si="0"/>
        <v>Middle-Aged</v>
      </c>
      <c r="E36">
        <v>33</v>
      </c>
      <c r="F36" t="str">
        <f t="shared" si="1"/>
        <v>Medium</v>
      </c>
      <c r="G36">
        <v>14</v>
      </c>
      <c r="H36" t="str">
        <f t="shared" si="2"/>
        <v>Low</v>
      </c>
    </row>
    <row r="37" spans="1:8" x14ac:dyDescent="0.25">
      <c r="A37">
        <v>36</v>
      </c>
      <c r="B37" t="s">
        <v>6</v>
      </c>
      <c r="C37">
        <v>21</v>
      </c>
      <c r="D37" t="str">
        <f t="shared" si="0"/>
        <v>Young</v>
      </c>
      <c r="E37">
        <v>33</v>
      </c>
      <c r="F37" t="str">
        <f t="shared" si="1"/>
        <v>Medium</v>
      </c>
      <c r="G37">
        <v>81</v>
      </c>
      <c r="H37" t="str">
        <f t="shared" si="2"/>
        <v>High</v>
      </c>
    </row>
    <row r="38" spans="1:8" x14ac:dyDescent="0.25">
      <c r="A38">
        <v>37</v>
      </c>
      <c r="B38" t="s">
        <v>6</v>
      </c>
      <c r="C38">
        <v>42</v>
      </c>
      <c r="D38" t="str">
        <f t="shared" si="0"/>
        <v>Middle-Aged</v>
      </c>
      <c r="E38">
        <v>34</v>
      </c>
      <c r="F38" t="str">
        <f t="shared" si="1"/>
        <v>Medium</v>
      </c>
      <c r="G38">
        <v>17</v>
      </c>
      <c r="H38" t="str">
        <f t="shared" si="2"/>
        <v>Low</v>
      </c>
    </row>
    <row r="39" spans="1:8" x14ac:dyDescent="0.25">
      <c r="A39">
        <v>38</v>
      </c>
      <c r="B39" t="s">
        <v>6</v>
      </c>
      <c r="C39">
        <v>30</v>
      </c>
      <c r="D39" t="str">
        <f t="shared" si="0"/>
        <v>Adult</v>
      </c>
      <c r="E39">
        <v>34</v>
      </c>
      <c r="F39" t="str">
        <f t="shared" si="1"/>
        <v>Medium</v>
      </c>
      <c r="G39">
        <v>73</v>
      </c>
      <c r="H39" t="str">
        <f t="shared" si="2"/>
        <v>High</v>
      </c>
    </row>
    <row r="40" spans="1:8" x14ac:dyDescent="0.25">
      <c r="A40">
        <v>39</v>
      </c>
      <c r="B40" t="s">
        <v>6</v>
      </c>
      <c r="C40">
        <v>36</v>
      </c>
      <c r="D40" t="str">
        <f t="shared" si="0"/>
        <v>Adult</v>
      </c>
      <c r="E40">
        <v>37</v>
      </c>
      <c r="F40" t="str">
        <f t="shared" si="1"/>
        <v>Medium</v>
      </c>
      <c r="G40">
        <v>26</v>
      </c>
      <c r="H40" t="str">
        <f t="shared" si="2"/>
        <v>Low</v>
      </c>
    </row>
    <row r="41" spans="1:8" x14ac:dyDescent="0.25">
      <c r="A41">
        <v>40</v>
      </c>
      <c r="B41" t="s">
        <v>6</v>
      </c>
      <c r="C41">
        <v>20</v>
      </c>
      <c r="D41" t="str">
        <f t="shared" si="0"/>
        <v>Young</v>
      </c>
      <c r="E41">
        <v>37</v>
      </c>
      <c r="F41" t="str">
        <f t="shared" si="1"/>
        <v>Medium</v>
      </c>
      <c r="G41">
        <v>75</v>
      </c>
      <c r="H41" t="str">
        <f t="shared" si="2"/>
        <v>High</v>
      </c>
    </row>
    <row r="42" spans="1:8" x14ac:dyDescent="0.25">
      <c r="A42">
        <v>41</v>
      </c>
      <c r="B42" t="s">
        <v>6</v>
      </c>
      <c r="C42">
        <v>65</v>
      </c>
      <c r="D42" t="str">
        <f t="shared" si="0"/>
        <v xml:space="preserve">Senior </v>
      </c>
      <c r="E42">
        <v>38</v>
      </c>
      <c r="F42" t="str">
        <f t="shared" si="1"/>
        <v>Medium</v>
      </c>
      <c r="G42">
        <v>35</v>
      </c>
      <c r="H42" t="str">
        <f t="shared" si="2"/>
        <v>Medium</v>
      </c>
    </row>
    <row r="43" spans="1:8" x14ac:dyDescent="0.25">
      <c r="A43">
        <v>42</v>
      </c>
      <c r="B43" t="s">
        <v>5</v>
      </c>
      <c r="C43">
        <v>24</v>
      </c>
      <c r="D43" t="str">
        <f t="shared" si="0"/>
        <v>Young</v>
      </c>
      <c r="E43">
        <v>38</v>
      </c>
      <c r="F43" t="str">
        <f t="shared" si="1"/>
        <v>Medium</v>
      </c>
      <c r="G43">
        <v>92</v>
      </c>
      <c r="H43" t="str">
        <f t="shared" si="2"/>
        <v>High</v>
      </c>
    </row>
    <row r="44" spans="1:8" x14ac:dyDescent="0.25">
      <c r="A44">
        <v>43</v>
      </c>
      <c r="B44" t="s">
        <v>5</v>
      </c>
      <c r="C44">
        <v>48</v>
      </c>
      <c r="D44" t="str">
        <f t="shared" si="0"/>
        <v>Middle-Aged</v>
      </c>
      <c r="E44">
        <v>39</v>
      </c>
      <c r="F44" t="str">
        <f t="shared" si="1"/>
        <v>Medium</v>
      </c>
      <c r="G44">
        <v>36</v>
      </c>
      <c r="H44" t="str">
        <f t="shared" si="2"/>
        <v>Medium</v>
      </c>
    </row>
    <row r="45" spans="1:8" x14ac:dyDescent="0.25">
      <c r="A45">
        <v>44</v>
      </c>
      <c r="B45" t="s">
        <v>6</v>
      </c>
      <c r="C45">
        <v>31</v>
      </c>
      <c r="D45" t="str">
        <f t="shared" si="0"/>
        <v>Adult</v>
      </c>
      <c r="E45">
        <v>39</v>
      </c>
      <c r="F45" t="str">
        <f t="shared" si="1"/>
        <v>Medium</v>
      </c>
      <c r="G45">
        <v>61</v>
      </c>
      <c r="H45" t="str">
        <f t="shared" si="2"/>
        <v>Medium</v>
      </c>
    </row>
    <row r="46" spans="1:8" x14ac:dyDescent="0.25">
      <c r="A46">
        <v>45</v>
      </c>
      <c r="B46" t="s">
        <v>6</v>
      </c>
      <c r="C46">
        <v>49</v>
      </c>
      <c r="D46" t="str">
        <f t="shared" si="0"/>
        <v>Middle-Aged</v>
      </c>
      <c r="E46">
        <v>39</v>
      </c>
      <c r="F46" t="str">
        <f t="shared" si="1"/>
        <v>Medium</v>
      </c>
      <c r="G46">
        <v>28</v>
      </c>
      <c r="H46" t="str">
        <f t="shared" si="2"/>
        <v>Low</v>
      </c>
    </row>
    <row r="47" spans="1:8" x14ac:dyDescent="0.25">
      <c r="A47">
        <v>46</v>
      </c>
      <c r="B47" t="s">
        <v>6</v>
      </c>
      <c r="C47">
        <v>24</v>
      </c>
      <c r="D47" t="str">
        <f t="shared" si="0"/>
        <v>Young</v>
      </c>
      <c r="E47">
        <v>39</v>
      </c>
      <c r="F47" t="str">
        <f t="shared" si="1"/>
        <v>Medium</v>
      </c>
      <c r="G47">
        <v>65</v>
      </c>
      <c r="H47" t="str">
        <f t="shared" si="2"/>
        <v>Medium</v>
      </c>
    </row>
    <row r="48" spans="1:8" x14ac:dyDescent="0.25">
      <c r="A48">
        <v>47</v>
      </c>
      <c r="B48" t="s">
        <v>6</v>
      </c>
      <c r="C48">
        <v>50</v>
      </c>
      <c r="D48" t="str">
        <f t="shared" si="0"/>
        <v>Middle-Aged</v>
      </c>
      <c r="E48">
        <v>40</v>
      </c>
      <c r="F48" t="str">
        <f t="shared" si="1"/>
        <v>Medium</v>
      </c>
      <c r="G48">
        <v>55</v>
      </c>
      <c r="H48" t="str">
        <f t="shared" si="2"/>
        <v>Medium</v>
      </c>
    </row>
    <row r="49" spans="1:8" x14ac:dyDescent="0.25">
      <c r="A49">
        <v>48</v>
      </c>
      <c r="B49" t="s">
        <v>6</v>
      </c>
      <c r="C49">
        <v>27</v>
      </c>
      <c r="D49" t="str">
        <f t="shared" si="0"/>
        <v>Adult</v>
      </c>
      <c r="E49">
        <v>40</v>
      </c>
      <c r="F49" t="str">
        <f t="shared" si="1"/>
        <v>Medium</v>
      </c>
      <c r="G49">
        <v>47</v>
      </c>
      <c r="H49" t="str">
        <f t="shared" si="2"/>
        <v>Medium</v>
      </c>
    </row>
    <row r="50" spans="1:8" x14ac:dyDescent="0.25">
      <c r="A50">
        <v>49</v>
      </c>
      <c r="B50" t="s">
        <v>6</v>
      </c>
      <c r="C50">
        <v>29</v>
      </c>
      <c r="D50" t="str">
        <f t="shared" si="0"/>
        <v>Adult</v>
      </c>
      <c r="E50">
        <v>40</v>
      </c>
      <c r="F50" t="str">
        <f t="shared" si="1"/>
        <v>Medium</v>
      </c>
      <c r="G50">
        <v>42</v>
      </c>
      <c r="H50" t="str">
        <f t="shared" si="2"/>
        <v>Medium</v>
      </c>
    </row>
    <row r="51" spans="1:8" x14ac:dyDescent="0.25">
      <c r="A51">
        <v>50</v>
      </c>
      <c r="B51" t="s">
        <v>6</v>
      </c>
      <c r="C51">
        <v>31</v>
      </c>
      <c r="D51" t="str">
        <f t="shared" si="0"/>
        <v>Adult</v>
      </c>
      <c r="E51">
        <v>40</v>
      </c>
      <c r="F51" t="str">
        <f t="shared" si="1"/>
        <v>Medium</v>
      </c>
      <c r="G51">
        <v>42</v>
      </c>
      <c r="H51" t="str">
        <f t="shared" si="2"/>
        <v>Medium</v>
      </c>
    </row>
    <row r="52" spans="1:8" x14ac:dyDescent="0.25">
      <c r="A52">
        <v>51</v>
      </c>
      <c r="B52" t="s">
        <v>6</v>
      </c>
      <c r="C52">
        <v>49</v>
      </c>
      <c r="D52" t="str">
        <f t="shared" si="0"/>
        <v>Middle-Aged</v>
      </c>
      <c r="E52">
        <v>42</v>
      </c>
      <c r="F52" t="str">
        <f t="shared" si="1"/>
        <v>Medium</v>
      </c>
      <c r="G52">
        <v>52</v>
      </c>
      <c r="H52" t="str">
        <f t="shared" si="2"/>
        <v>Medium</v>
      </c>
    </row>
    <row r="53" spans="1:8" x14ac:dyDescent="0.25">
      <c r="A53">
        <v>52</v>
      </c>
      <c r="B53" t="s">
        <v>5</v>
      </c>
      <c r="C53">
        <v>33</v>
      </c>
      <c r="D53" t="str">
        <f t="shared" si="0"/>
        <v>Adult</v>
      </c>
      <c r="E53">
        <v>42</v>
      </c>
      <c r="F53" t="str">
        <f t="shared" si="1"/>
        <v>Medium</v>
      </c>
      <c r="G53">
        <v>60</v>
      </c>
      <c r="H53" t="str">
        <f t="shared" si="2"/>
        <v>Medium</v>
      </c>
    </row>
    <row r="54" spans="1:8" x14ac:dyDescent="0.25">
      <c r="A54">
        <v>53</v>
      </c>
      <c r="B54" t="s">
        <v>6</v>
      </c>
      <c r="C54">
        <v>31</v>
      </c>
      <c r="D54" t="str">
        <f t="shared" si="0"/>
        <v>Adult</v>
      </c>
      <c r="E54">
        <v>43</v>
      </c>
      <c r="F54" t="str">
        <f t="shared" si="1"/>
        <v>Medium</v>
      </c>
      <c r="G54">
        <v>54</v>
      </c>
      <c r="H54" t="str">
        <f t="shared" si="2"/>
        <v>Medium</v>
      </c>
    </row>
    <row r="55" spans="1:8" x14ac:dyDescent="0.25">
      <c r="A55">
        <v>54</v>
      </c>
      <c r="B55" t="s">
        <v>5</v>
      </c>
      <c r="C55">
        <v>59</v>
      </c>
      <c r="D55" t="str">
        <f t="shared" si="0"/>
        <v>Middle-Aged</v>
      </c>
      <c r="E55">
        <v>43</v>
      </c>
      <c r="F55" t="str">
        <f t="shared" si="1"/>
        <v>Medium</v>
      </c>
      <c r="G55">
        <v>60</v>
      </c>
      <c r="H55" t="str">
        <f t="shared" si="2"/>
        <v>Medium</v>
      </c>
    </row>
    <row r="56" spans="1:8" x14ac:dyDescent="0.25">
      <c r="A56">
        <v>55</v>
      </c>
      <c r="B56" t="s">
        <v>6</v>
      </c>
      <c r="C56">
        <v>50</v>
      </c>
      <c r="D56" t="str">
        <f t="shared" si="0"/>
        <v>Middle-Aged</v>
      </c>
      <c r="E56">
        <v>43</v>
      </c>
      <c r="F56" t="str">
        <f t="shared" si="1"/>
        <v>Medium</v>
      </c>
      <c r="G56">
        <v>45</v>
      </c>
      <c r="H56" t="str">
        <f t="shared" si="2"/>
        <v>Medium</v>
      </c>
    </row>
    <row r="57" spans="1:8" x14ac:dyDescent="0.25">
      <c r="A57">
        <v>56</v>
      </c>
      <c r="B57" t="s">
        <v>5</v>
      </c>
      <c r="C57">
        <v>47</v>
      </c>
      <c r="D57" t="str">
        <f t="shared" si="0"/>
        <v>Middle-Aged</v>
      </c>
      <c r="E57">
        <v>43</v>
      </c>
      <c r="F57" t="str">
        <f t="shared" si="1"/>
        <v>Medium</v>
      </c>
      <c r="G57">
        <v>41</v>
      </c>
      <c r="H57" t="str">
        <f t="shared" si="2"/>
        <v>Medium</v>
      </c>
    </row>
    <row r="58" spans="1:8" x14ac:dyDescent="0.25">
      <c r="A58">
        <v>57</v>
      </c>
      <c r="B58" t="s">
        <v>6</v>
      </c>
      <c r="C58">
        <v>51</v>
      </c>
      <c r="D58" t="str">
        <f t="shared" si="0"/>
        <v>Middle-Aged</v>
      </c>
      <c r="E58">
        <v>44</v>
      </c>
      <c r="F58" t="str">
        <f t="shared" si="1"/>
        <v>Medium</v>
      </c>
      <c r="G58">
        <v>50</v>
      </c>
      <c r="H58" t="str">
        <f t="shared" si="2"/>
        <v>Medium</v>
      </c>
    </row>
    <row r="59" spans="1:8" x14ac:dyDescent="0.25">
      <c r="A59">
        <v>58</v>
      </c>
      <c r="B59" t="s">
        <v>5</v>
      </c>
      <c r="C59">
        <v>69</v>
      </c>
      <c r="D59" t="str">
        <f t="shared" si="0"/>
        <v xml:space="preserve">Senior </v>
      </c>
      <c r="E59">
        <v>44</v>
      </c>
      <c r="F59" t="str">
        <f t="shared" si="1"/>
        <v>Medium</v>
      </c>
      <c r="G59">
        <v>46</v>
      </c>
      <c r="H59" t="str">
        <f t="shared" si="2"/>
        <v>Medium</v>
      </c>
    </row>
    <row r="60" spans="1:8" x14ac:dyDescent="0.25">
      <c r="A60">
        <v>59</v>
      </c>
      <c r="B60" t="s">
        <v>6</v>
      </c>
      <c r="C60">
        <v>27</v>
      </c>
      <c r="D60" t="str">
        <f t="shared" si="0"/>
        <v>Adult</v>
      </c>
      <c r="E60">
        <v>46</v>
      </c>
      <c r="F60" t="str">
        <f t="shared" si="1"/>
        <v>Medium</v>
      </c>
      <c r="G60">
        <v>51</v>
      </c>
      <c r="H60" t="str">
        <f t="shared" si="2"/>
        <v>Medium</v>
      </c>
    </row>
    <row r="61" spans="1:8" x14ac:dyDescent="0.25">
      <c r="A61">
        <v>60</v>
      </c>
      <c r="B61" t="s">
        <v>5</v>
      </c>
      <c r="C61">
        <v>53</v>
      </c>
      <c r="D61" t="str">
        <f t="shared" si="0"/>
        <v>Middle-Aged</v>
      </c>
      <c r="E61">
        <v>46</v>
      </c>
      <c r="F61" t="str">
        <f t="shared" si="1"/>
        <v>Medium</v>
      </c>
      <c r="G61">
        <v>46</v>
      </c>
      <c r="H61" t="str">
        <f t="shared" si="2"/>
        <v>Medium</v>
      </c>
    </row>
    <row r="62" spans="1:8" x14ac:dyDescent="0.25">
      <c r="A62">
        <v>61</v>
      </c>
      <c r="B62" t="s">
        <v>5</v>
      </c>
      <c r="C62">
        <v>70</v>
      </c>
      <c r="D62" t="str">
        <f t="shared" si="0"/>
        <v xml:space="preserve">Senior </v>
      </c>
      <c r="E62">
        <v>46</v>
      </c>
      <c r="F62" t="str">
        <f t="shared" si="1"/>
        <v>Medium</v>
      </c>
      <c r="G62">
        <v>56</v>
      </c>
      <c r="H62" t="str">
        <f t="shared" si="2"/>
        <v>Medium</v>
      </c>
    </row>
    <row r="63" spans="1:8" x14ac:dyDescent="0.25">
      <c r="A63">
        <v>62</v>
      </c>
      <c r="B63" t="s">
        <v>5</v>
      </c>
      <c r="C63">
        <v>19</v>
      </c>
      <c r="D63" t="str">
        <f t="shared" si="0"/>
        <v>Young</v>
      </c>
      <c r="E63">
        <v>46</v>
      </c>
      <c r="F63" t="str">
        <f t="shared" si="1"/>
        <v>Medium</v>
      </c>
      <c r="G63">
        <v>55</v>
      </c>
      <c r="H63" t="str">
        <f t="shared" si="2"/>
        <v>Medium</v>
      </c>
    </row>
    <row r="64" spans="1:8" x14ac:dyDescent="0.25">
      <c r="A64">
        <v>63</v>
      </c>
      <c r="B64" t="s">
        <v>6</v>
      </c>
      <c r="C64">
        <v>67</v>
      </c>
      <c r="D64" t="str">
        <f t="shared" si="0"/>
        <v xml:space="preserve">Senior </v>
      </c>
      <c r="E64">
        <v>47</v>
      </c>
      <c r="F64" t="str">
        <f t="shared" si="1"/>
        <v>Medium</v>
      </c>
      <c r="G64">
        <v>52</v>
      </c>
      <c r="H64" t="str">
        <f t="shared" si="2"/>
        <v>Medium</v>
      </c>
    </row>
    <row r="65" spans="1:8" x14ac:dyDescent="0.25">
      <c r="A65">
        <v>64</v>
      </c>
      <c r="B65" t="s">
        <v>6</v>
      </c>
      <c r="C65">
        <v>54</v>
      </c>
      <c r="D65" t="str">
        <f t="shared" si="0"/>
        <v>Middle-Aged</v>
      </c>
      <c r="E65">
        <v>47</v>
      </c>
      <c r="F65" t="str">
        <f t="shared" si="1"/>
        <v>Medium</v>
      </c>
      <c r="G65">
        <v>59</v>
      </c>
      <c r="H65" t="str">
        <f t="shared" si="2"/>
        <v>Medium</v>
      </c>
    </row>
    <row r="66" spans="1:8" x14ac:dyDescent="0.25">
      <c r="A66">
        <v>65</v>
      </c>
      <c r="B66" t="s">
        <v>5</v>
      </c>
      <c r="C66">
        <v>63</v>
      </c>
      <c r="D66" t="str">
        <f t="shared" si="0"/>
        <v xml:space="preserve">Senior </v>
      </c>
      <c r="E66">
        <v>48</v>
      </c>
      <c r="F66" t="str">
        <f t="shared" si="1"/>
        <v>Medium</v>
      </c>
      <c r="G66">
        <v>51</v>
      </c>
      <c r="H66" t="str">
        <f t="shared" si="2"/>
        <v>Medium</v>
      </c>
    </row>
    <row r="67" spans="1:8" x14ac:dyDescent="0.25">
      <c r="A67">
        <v>66</v>
      </c>
      <c r="B67" t="s">
        <v>5</v>
      </c>
      <c r="C67">
        <v>18</v>
      </c>
      <c r="D67" t="str">
        <f t="shared" ref="D67:D130" si="3">IF(C67&lt;=25,"Young",IF(C67&lt;=40,"Adult",IF(C67&lt;=60,"Middle-Aged","Senior ")))</f>
        <v>Young</v>
      </c>
      <c r="E67">
        <v>48</v>
      </c>
      <c r="F67" t="str">
        <f t="shared" ref="F67:F130" si="4">IF(E67&lt;=30,"Low",IF(E67&lt;=60,"Medium",IF(E67&lt;=90,"High","Very High ")))</f>
        <v>Medium</v>
      </c>
      <c r="G67">
        <v>59</v>
      </c>
      <c r="H67" t="str">
        <f t="shared" ref="H67:H130" si="5">IF(G67&lt;=33,"Low",IF(G67&lt;=66,"Medium","High"))</f>
        <v>Medium</v>
      </c>
    </row>
    <row r="68" spans="1:8" x14ac:dyDescent="0.25">
      <c r="A68">
        <v>67</v>
      </c>
      <c r="B68" t="s">
        <v>6</v>
      </c>
      <c r="C68">
        <v>43</v>
      </c>
      <c r="D68" t="str">
        <f t="shared" si="3"/>
        <v>Middle-Aged</v>
      </c>
      <c r="E68">
        <v>48</v>
      </c>
      <c r="F68" t="str">
        <f t="shared" si="4"/>
        <v>Medium</v>
      </c>
      <c r="G68">
        <v>50</v>
      </c>
      <c r="H68" t="str">
        <f t="shared" si="5"/>
        <v>Medium</v>
      </c>
    </row>
    <row r="69" spans="1:8" x14ac:dyDescent="0.25">
      <c r="A69">
        <v>68</v>
      </c>
      <c r="B69" t="s">
        <v>6</v>
      </c>
      <c r="C69">
        <v>68</v>
      </c>
      <c r="D69" t="str">
        <f t="shared" si="3"/>
        <v xml:space="preserve">Senior </v>
      </c>
      <c r="E69">
        <v>48</v>
      </c>
      <c r="F69" t="str">
        <f t="shared" si="4"/>
        <v>Medium</v>
      </c>
      <c r="G69">
        <v>48</v>
      </c>
      <c r="H69" t="str">
        <f t="shared" si="5"/>
        <v>Medium</v>
      </c>
    </row>
    <row r="70" spans="1:8" x14ac:dyDescent="0.25">
      <c r="A70">
        <v>69</v>
      </c>
      <c r="B70" t="s">
        <v>5</v>
      </c>
      <c r="C70">
        <v>19</v>
      </c>
      <c r="D70" t="str">
        <f t="shared" si="3"/>
        <v>Young</v>
      </c>
      <c r="E70">
        <v>48</v>
      </c>
      <c r="F70" t="str">
        <f t="shared" si="4"/>
        <v>Medium</v>
      </c>
      <c r="G70">
        <v>59</v>
      </c>
      <c r="H70" t="str">
        <f t="shared" si="5"/>
        <v>Medium</v>
      </c>
    </row>
    <row r="71" spans="1:8" x14ac:dyDescent="0.25">
      <c r="A71">
        <v>70</v>
      </c>
      <c r="B71" t="s">
        <v>6</v>
      </c>
      <c r="C71">
        <v>32</v>
      </c>
      <c r="D71" t="str">
        <f t="shared" si="3"/>
        <v>Adult</v>
      </c>
      <c r="E71">
        <v>48</v>
      </c>
      <c r="F71" t="str">
        <f t="shared" si="4"/>
        <v>Medium</v>
      </c>
      <c r="G71">
        <v>47</v>
      </c>
      <c r="H71" t="str">
        <f t="shared" si="5"/>
        <v>Medium</v>
      </c>
    </row>
    <row r="72" spans="1:8" x14ac:dyDescent="0.25">
      <c r="A72">
        <v>71</v>
      </c>
      <c r="B72" t="s">
        <v>5</v>
      </c>
      <c r="C72">
        <v>70</v>
      </c>
      <c r="D72" t="str">
        <f t="shared" si="3"/>
        <v xml:space="preserve">Senior </v>
      </c>
      <c r="E72">
        <v>49</v>
      </c>
      <c r="F72" t="str">
        <f t="shared" si="4"/>
        <v>Medium</v>
      </c>
      <c r="G72">
        <v>55</v>
      </c>
      <c r="H72" t="str">
        <f t="shared" si="5"/>
        <v>Medium</v>
      </c>
    </row>
    <row r="73" spans="1:8" x14ac:dyDescent="0.25">
      <c r="A73">
        <v>72</v>
      </c>
      <c r="B73" t="s">
        <v>6</v>
      </c>
      <c r="C73">
        <v>47</v>
      </c>
      <c r="D73" t="str">
        <f t="shared" si="3"/>
        <v>Middle-Aged</v>
      </c>
      <c r="E73">
        <v>49</v>
      </c>
      <c r="F73" t="str">
        <f t="shared" si="4"/>
        <v>Medium</v>
      </c>
      <c r="G73">
        <v>42</v>
      </c>
      <c r="H73" t="str">
        <f t="shared" si="5"/>
        <v>Medium</v>
      </c>
    </row>
    <row r="74" spans="1:8" x14ac:dyDescent="0.25">
      <c r="A74">
        <v>73</v>
      </c>
      <c r="B74" t="s">
        <v>6</v>
      </c>
      <c r="C74">
        <v>60</v>
      </c>
      <c r="D74" t="str">
        <f t="shared" si="3"/>
        <v>Middle-Aged</v>
      </c>
      <c r="E74">
        <v>50</v>
      </c>
      <c r="F74" t="str">
        <f t="shared" si="4"/>
        <v>Medium</v>
      </c>
      <c r="G74">
        <v>49</v>
      </c>
      <c r="H74" t="str">
        <f t="shared" si="5"/>
        <v>Medium</v>
      </c>
    </row>
    <row r="75" spans="1:8" x14ac:dyDescent="0.25">
      <c r="A75">
        <v>74</v>
      </c>
      <c r="B75" t="s">
        <v>6</v>
      </c>
      <c r="C75">
        <v>60</v>
      </c>
      <c r="D75" t="str">
        <f t="shared" si="3"/>
        <v>Middle-Aged</v>
      </c>
      <c r="E75">
        <v>50</v>
      </c>
      <c r="F75" t="str">
        <f t="shared" si="4"/>
        <v>Medium</v>
      </c>
      <c r="G75">
        <v>56</v>
      </c>
      <c r="H75" t="str">
        <f t="shared" si="5"/>
        <v>Medium</v>
      </c>
    </row>
    <row r="76" spans="1:8" x14ac:dyDescent="0.25">
      <c r="A76">
        <v>75</v>
      </c>
      <c r="B76" t="s">
        <v>5</v>
      </c>
      <c r="C76">
        <v>59</v>
      </c>
      <c r="D76" t="str">
        <f t="shared" si="3"/>
        <v>Middle-Aged</v>
      </c>
      <c r="E76">
        <v>54</v>
      </c>
      <c r="F76" t="str">
        <f t="shared" si="4"/>
        <v>Medium</v>
      </c>
      <c r="G76">
        <v>47</v>
      </c>
      <c r="H76" t="str">
        <f t="shared" si="5"/>
        <v>Medium</v>
      </c>
    </row>
    <row r="77" spans="1:8" x14ac:dyDescent="0.25">
      <c r="A77">
        <v>76</v>
      </c>
      <c r="B77" t="s">
        <v>5</v>
      </c>
      <c r="C77">
        <v>26</v>
      </c>
      <c r="D77" t="str">
        <f t="shared" si="3"/>
        <v>Adult</v>
      </c>
      <c r="E77">
        <v>54</v>
      </c>
      <c r="F77" t="str">
        <f t="shared" si="4"/>
        <v>Medium</v>
      </c>
      <c r="G77">
        <v>54</v>
      </c>
      <c r="H77" t="str">
        <f t="shared" si="5"/>
        <v>Medium</v>
      </c>
    </row>
    <row r="78" spans="1:8" x14ac:dyDescent="0.25">
      <c r="A78">
        <v>77</v>
      </c>
      <c r="B78" t="s">
        <v>6</v>
      </c>
      <c r="C78">
        <v>45</v>
      </c>
      <c r="D78" t="str">
        <f t="shared" si="3"/>
        <v>Middle-Aged</v>
      </c>
      <c r="E78">
        <v>54</v>
      </c>
      <c r="F78" t="str">
        <f t="shared" si="4"/>
        <v>Medium</v>
      </c>
      <c r="G78">
        <v>53</v>
      </c>
      <c r="H78" t="str">
        <f t="shared" si="5"/>
        <v>Medium</v>
      </c>
    </row>
    <row r="79" spans="1:8" x14ac:dyDescent="0.25">
      <c r="A79">
        <v>78</v>
      </c>
      <c r="B79" t="s">
        <v>5</v>
      </c>
      <c r="C79">
        <v>40</v>
      </c>
      <c r="D79" t="str">
        <f t="shared" si="3"/>
        <v>Adult</v>
      </c>
      <c r="E79">
        <v>54</v>
      </c>
      <c r="F79" t="str">
        <f t="shared" si="4"/>
        <v>Medium</v>
      </c>
      <c r="G79">
        <v>48</v>
      </c>
      <c r="H79" t="str">
        <f t="shared" si="5"/>
        <v>Medium</v>
      </c>
    </row>
    <row r="80" spans="1:8" x14ac:dyDescent="0.25">
      <c r="A80">
        <v>79</v>
      </c>
      <c r="B80" t="s">
        <v>6</v>
      </c>
      <c r="C80">
        <v>23</v>
      </c>
      <c r="D80" t="str">
        <f t="shared" si="3"/>
        <v>Young</v>
      </c>
      <c r="E80">
        <v>54</v>
      </c>
      <c r="F80" t="str">
        <f t="shared" si="4"/>
        <v>Medium</v>
      </c>
      <c r="G80">
        <v>52</v>
      </c>
      <c r="H80" t="str">
        <f t="shared" si="5"/>
        <v>Medium</v>
      </c>
    </row>
    <row r="81" spans="1:8" x14ac:dyDescent="0.25">
      <c r="A81">
        <v>80</v>
      </c>
      <c r="B81" t="s">
        <v>6</v>
      </c>
      <c r="C81">
        <v>49</v>
      </c>
      <c r="D81" t="str">
        <f t="shared" si="3"/>
        <v>Middle-Aged</v>
      </c>
      <c r="E81">
        <v>54</v>
      </c>
      <c r="F81" t="str">
        <f t="shared" si="4"/>
        <v>Medium</v>
      </c>
      <c r="G81">
        <v>42</v>
      </c>
      <c r="H81" t="str">
        <f t="shared" si="5"/>
        <v>Medium</v>
      </c>
    </row>
    <row r="82" spans="1:8" x14ac:dyDescent="0.25">
      <c r="A82">
        <v>81</v>
      </c>
      <c r="B82" t="s">
        <v>5</v>
      </c>
      <c r="C82">
        <v>57</v>
      </c>
      <c r="D82" t="str">
        <f t="shared" si="3"/>
        <v>Middle-Aged</v>
      </c>
      <c r="E82">
        <v>54</v>
      </c>
      <c r="F82" t="str">
        <f t="shared" si="4"/>
        <v>Medium</v>
      </c>
      <c r="G82">
        <v>51</v>
      </c>
      <c r="H82" t="str">
        <f t="shared" si="5"/>
        <v>Medium</v>
      </c>
    </row>
    <row r="83" spans="1:8" x14ac:dyDescent="0.25">
      <c r="A83">
        <v>82</v>
      </c>
      <c r="B83" t="s">
        <v>5</v>
      </c>
      <c r="C83">
        <v>38</v>
      </c>
      <c r="D83" t="str">
        <f t="shared" si="3"/>
        <v>Adult</v>
      </c>
      <c r="E83">
        <v>54</v>
      </c>
      <c r="F83" t="str">
        <f t="shared" si="4"/>
        <v>Medium</v>
      </c>
      <c r="G83">
        <v>55</v>
      </c>
      <c r="H83" t="str">
        <f t="shared" si="5"/>
        <v>Medium</v>
      </c>
    </row>
    <row r="84" spans="1:8" x14ac:dyDescent="0.25">
      <c r="A84">
        <v>83</v>
      </c>
      <c r="B84" t="s">
        <v>5</v>
      </c>
      <c r="C84">
        <v>67</v>
      </c>
      <c r="D84" t="str">
        <f t="shared" si="3"/>
        <v xml:space="preserve">Senior </v>
      </c>
      <c r="E84">
        <v>54</v>
      </c>
      <c r="F84" t="str">
        <f t="shared" si="4"/>
        <v>Medium</v>
      </c>
      <c r="G84">
        <v>41</v>
      </c>
      <c r="H84" t="str">
        <f t="shared" si="5"/>
        <v>Medium</v>
      </c>
    </row>
    <row r="85" spans="1:8" x14ac:dyDescent="0.25">
      <c r="A85">
        <v>84</v>
      </c>
      <c r="B85" t="s">
        <v>6</v>
      </c>
      <c r="C85">
        <v>46</v>
      </c>
      <c r="D85" t="str">
        <f t="shared" si="3"/>
        <v>Middle-Aged</v>
      </c>
      <c r="E85">
        <v>54</v>
      </c>
      <c r="F85" t="str">
        <f t="shared" si="4"/>
        <v>Medium</v>
      </c>
      <c r="G85">
        <v>44</v>
      </c>
      <c r="H85" t="str">
        <f t="shared" si="5"/>
        <v>Medium</v>
      </c>
    </row>
    <row r="86" spans="1:8" x14ac:dyDescent="0.25">
      <c r="A86">
        <v>85</v>
      </c>
      <c r="B86" t="s">
        <v>6</v>
      </c>
      <c r="C86">
        <v>21</v>
      </c>
      <c r="D86" t="str">
        <f t="shared" si="3"/>
        <v>Young</v>
      </c>
      <c r="E86">
        <v>54</v>
      </c>
      <c r="F86" t="str">
        <f t="shared" si="4"/>
        <v>Medium</v>
      </c>
      <c r="G86">
        <v>57</v>
      </c>
      <c r="H86" t="str">
        <f t="shared" si="5"/>
        <v>Medium</v>
      </c>
    </row>
    <row r="87" spans="1:8" x14ac:dyDescent="0.25">
      <c r="A87">
        <v>86</v>
      </c>
      <c r="B87" t="s">
        <v>5</v>
      </c>
      <c r="C87">
        <v>48</v>
      </c>
      <c r="D87" t="str">
        <f t="shared" si="3"/>
        <v>Middle-Aged</v>
      </c>
      <c r="E87">
        <v>54</v>
      </c>
      <c r="F87" t="str">
        <f t="shared" si="4"/>
        <v>Medium</v>
      </c>
      <c r="G87">
        <v>46</v>
      </c>
      <c r="H87" t="str">
        <f t="shared" si="5"/>
        <v>Medium</v>
      </c>
    </row>
    <row r="88" spans="1:8" x14ac:dyDescent="0.25">
      <c r="A88">
        <v>87</v>
      </c>
      <c r="B88" t="s">
        <v>6</v>
      </c>
      <c r="C88">
        <v>55</v>
      </c>
      <c r="D88" t="str">
        <f t="shared" si="3"/>
        <v>Middle-Aged</v>
      </c>
      <c r="E88">
        <v>57</v>
      </c>
      <c r="F88" t="str">
        <f t="shared" si="4"/>
        <v>Medium</v>
      </c>
      <c r="G88">
        <v>58</v>
      </c>
      <c r="H88" t="str">
        <f t="shared" si="5"/>
        <v>Medium</v>
      </c>
    </row>
    <row r="89" spans="1:8" x14ac:dyDescent="0.25">
      <c r="A89">
        <v>88</v>
      </c>
      <c r="B89" t="s">
        <v>6</v>
      </c>
      <c r="C89">
        <v>22</v>
      </c>
      <c r="D89" t="str">
        <f t="shared" si="3"/>
        <v>Young</v>
      </c>
      <c r="E89">
        <v>57</v>
      </c>
      <c r="F89" t="str">
        <f t="shared" si="4"/>
        <v>Medium</v>
      </c>
      <c r="G89">
        <v>55</v>
      </c>
      <c r="H89" t="str">
        <f t="shared" si="5"/>
        <v>Medium</v>
      </c>
    </row>
    <row r="90" spans="1:8" x14ac:dyDescent="0.25">
      <c r="A90">
        <v>89</v>
      </c>
      <c r="B90" t="s">
        <v>6</v>
      </c>
      <c r="C90">
        <v>34</v>
      </c>
      <c r="D90" t="str">
        <f t="shared" si="3"/>
        <v>Adult</v>
      </c>
      <c r="E90">
        <v>58</v>
      </c>
      <c r="F90" t="str">
        <f t="shared" si="4"/>
        <v>Medium</v>
      </c>
      <c r="G90">
        <v>60</v>
      </c>
      <c r="H90" t="str">
        <f t="shared" si="5"/>
        <v>Medium</v>
      </c>
    </row>
    <row r="91" spans="1:8" x14ac:dyDescent="0.25">
      <c r="A91">
        <v>90</v>
      </c>
      <c r="B91" t="s">
        <v>6</v>
      </c>
      <c r="C91">
        <v>50</v>
      </c>
      <c r="D91" t="str">
        <f t="shared" si="3"/>
        <v>Middle-Aged</v>
      </c>
      <c r="E91">
        <v>58</v>
      </c>
      <c r="F91" t="str">
        <f t="shared" si="4"/>
        <v>Medium</v>
      </c>
      <c r="G91">
        <v>46</v>
      </c>
      <c r="H91" t="str">
        <f t="shared" si="5"/>
        <v>Medium</v>
      </c>
    </row>
    <row r="92" spans="1:8" x14ac:dyDescent="0.25">
      <c r="A92">
        <v>91</v>
      </c>
      <c r="B92" t="s">
        <v>6</v>
      </c>
      <c r="C92">
        <v>68</v>
      </c>
      <c r="D92" t="str">
        <f t="shared" si="3"/>
        <v xml:space="preserve">Senior </v>
      </c>
      <c r="E92">
        <v>59</v>
      </c>
      <c r="F92" t="str">
        <f t="shared" si="4"/>
        <v>Medium</v>
      </c>
      <c r="G92">
        <v>55</v>
      </c>
      <c r="H92" t="str">
        <f t="shared" si="5"/>
        <v>Medium</v>
      </c>
    </row>
    <row r="93" spans="1:8" x14ac:dyDescent="0.25">
      <c r="A93">
        <v>92</v>
      </c>
      <c r="B93" t="s">
        <v>5</v>
      </c>
      <c r="C93">
        <v>18</v>
      </c>
      <c r="D93" t="str">
        <f t="shared" si="3"/>
        <v>Young</v>
      </c>
      <c r="E93">
        <v>59</v>
      </c>
      <c r="F93" t="str">
        <f t="shared" si="4"/>
        <v>Medium</v>
      </c>
      <c r="G93">
        <v>41</v>
      </c>
      <c r="H93" t="str">
        <f t="shared" si="5"/>
        <v>Medium</v>
      </c>
    </row>
    <row r="94" spans="1:8" x14ac:dyDescent="0.25">
      <c r="A94">
        <v>93</v>
      </c>
      <c r="B94" t="s">
        <v>5</v>
      </c>
      <c r="C94">
        <v>48</v>
      </c>
      <c r="D94" t="str">
        <f t="shared" si="3"/>
        <v>Middle-Aged</v>
      </c>
      <c r="E94">
        <v>60</v>
      </c>
      <c r="F94" t="str">
        <f t="shared" si="4"/>
        <v>Medium</v>
      </c>
      <c r="G94">
        <v>49</v>
      </c>
      <c r="H94" t="str">
        <f t="shared" si="5"/>
        <v>Medium</v>
      </c>
    </row>
    <row r="95" spans="1:8" x14ac:dyDescent="0.25">
      <c r="A95">
        <v>94</v>
      </c>
      <c r="B95" t="s">
        <v>6</v>
      </c>
      <c r="C95">
        <v>40</v>
      </c>
      <c r="D95" t="str">
        <f t="shared" si="3"/>
        <v>Adult</v>
      </c>
      <c r="E95">
        <v>60</v>
      </c>
      <c r="F95" t="str">
        <f t="shared" si="4"/>
        <v>Medium</v>
      </c>
      <c r="G95">
        <v>40</v>
      </c>
      <c r="H95" t="str">
        <f t="shared" si="5"/>
        <v>Medium</v>
      </c>
    </row>
    <row r="96" spans="1:8" x14ac:dyDescent="0.25">
      <c r="A96">
        <v>95</v>
      </c>
      <c r="B96" t="s">
        <v>6</v>
      </c>
      <c r="C96">
        <v>32</v>
      </c>
      <c r="D96" t="str">
        <f t="shared" si="3"/>
        <v>Adult</v>
      </c>
      <c r="E96">
        <v>60</v>
      </c>
      <c r="F96" t="str">
        <f t="shared" si="4"/>
        <v>Medium</v>
      </c>
      <c r="G96">
        <v>42</v>
      </c>
      <c r="H96" t="str">
        <f t="shared" si="5"/>
        <v>Medium</v>
      </c>
    </row>
    <row r="97" spans="1:8" x14ac:dyDescent="0.25">
      <c r="A97">
        <v>96</v>
      </c>
      <c r="B97" t="s">
        <v>5</v>
      </c>
      <c r="C97">
        <v>24</v>
      </c>
      <c r="D97" t="str">
        <f t="shared" si="3"/>
        <v>Young</v>
      </c>
      <c r="E97">
        <v>60</v>
      </c>
      <c r="F97" t="str">
        <f t="shared" si="4"/>
        <v>Medium</v>
      </c>
      <c r="G97">
        <v>52</v>
      </c>
      <c r="H97" t="str">
        <f t="shared" si="5"/>
        <v>Medium</v>
      </c>
    </row>
    <row r="98" spans="1:8" x14ac:dyDescent="0.25">
      <c r="A98">
        <v>97</v>
      </c>
      <c r="B98" t="s">
        <v>6</v>
      </c>
      <c r="C98">
        <v>47</v>
      </c>
      <c r="D98" t="str">
        <f t="shared" si="3"/>
        <v>Middle-Aged</v>
      </c>
      <c r="E98">
        <v>60</v>
      </c>
      <c r="F98" t="str">
        <f t="shared" si="4"/>
        <v>Medium</v>
      </c>
      <c r="G98">
        <v>47</v>
      </c>
      <c r="H98" t="str">
        <f t="shared" si="5"/>
        <v>Medium</v>
      </c>
    </row>
    <row r="99" spans="1:8" x14ac:dyDescent="0.25">
      <c r="A99">
        <v>98</v>
      </c>
      <c r="B99" t="s">
        <v>6</v>
      </c>
      <c r="C99">
        <v>27</v>
      </c>
      <c r="D99" t="str">
        <f t="shared" si="3"/>
        <v>Adult</v>
      </c>
      <c r="E99">
        <v>60</v>
      </c>
      <c r="F99" t="str">
        <f t="shared" si="4"/>
        <v>Medium</v>
      </c>
      <c r="G99">
        <v>50</v>
      </c>
      <c r="H99" t="str">
        <f t="shared" si="5"/>
        <v>Medium</v>
      </c>
    </row>
    <row r="100" spans="1:8" x14ac:dyDescent="0.25">
      <c r="A100">
        <v>99</v>
      </c>
      <c r="B100" t="s">
        <v>5</v>
      </c>
      <c r="C100">
        <v>48</v>
      </c>
      <c r="D100" t="str">
        <f t="shared" si="3"/>
        <v>Middle-Aged</v>
      </c>
      <c r="E100">
        <v>61</v>
      </c>
      <c r="F100" t="str">
        <f t="shared" si="4"/>
        <v>High</v>
      </c>
      <c r="G100">
        <v>42</v>
      </c>
      <c r="H100" t="str">
        <f t="shared" si="5"/>
        <v>Medium</v>
      </c>
    </row>
    <row r="101" spans="1:8" x14ac:dyDescent="0.25">
      <c r="A101">
        <v>100</v>
      </c>
      <c r="B101" t="s">
        <v>5</v>
      </c>
      <c r="C101">
        <v>20</v>
      </c>
      <c r="D101" t="str">
        <f t="shared" si="3"/>
        <v>Young</v>
      </c>
      <c r="E101">
        <v>61</v>
      </c>
      <c r="F101" t="str">
        <f t="shared" si="4"/>
        <v>High</v>
      </c>
      <c r="G101">
        <v>49</v>
      </c>
      <c r="H101" t="str">
        <f t="shared" si="5"/>
        <v>Medium</v>
      </c>
    </row>
    <row r="102" spans="1:8" x14ac:dyDescent="0.25">
      <c r="A102">
        <v>101</v>
      </c>
      <c r="B102" t="s">
        <v>6</v>
      </c>
      <c r="C102">
        <v>23</v>
      </c>
      <c r="D102" t="str">
        <f t="shared" si="3"/>
        <v>Young</v>
      </c>
      <c r="E102">
        <v>62</v>
      </c>
      <c r="F102" t="str">
        <f t="shared" si="4"/>
        <v>High</v>
      </c>
      <c r="G102">
        <v>41</v>
      </c>
      <c r="H102" t="str">
        <f t="shared" si="5"/>
        <v>Medium</v>
      </c>
    </row>
    <row r="103" spans="1:8" x14ac:dyDescent="0.25">
      <c r="A103">
        <v>102</v>
      </c>
      <c r="B103" t="s">
        <v>6</v>
      </c>
      <c r="C103">
        <v>49</v>
      </c>
      <c r="D103" t="str">
        <f t="shared" si="3"/>
        <v>Middle-Aged</v>
      </c>
      <c r="E103">
        <v>62</v>
      </c>
      <c r="F103" t="str">
        <f t="shared" si="4"/>
        <v>High</v>
      </c>
      <c r="G103">
        <v>48</v>
      </c>
      <c r="H103" t="str">
        <f t="shared" si="5"/>
        <v>Medium</v>
      </c>
    </row>
    <row r="104" spans="1:8" x14ac:dyDescent="0.25">
      <c r="A104">
        <v>103</v>
      </c>
      <c r="B104" t="s">
        <v>5</v>
      </c>
      <c r="C104">
        <v>67</v>
      </c>
      <c r="D104" t="str">
        <f t="shared" si="3"/>
        <v xml:space="preserve">Senior </v>
      </c>
      <c r="E104">
        <v>62</v>
      </c>
      <c r="F104" t="str">
        <f t="shared" si="4"/>
        <v>High</v>
      </c>
      <c r="G104">
        <v>59</v>
      </c>
      <c r="H104" t="str">
        <f t="shared" si="5"/>
        <v>Medium</v>
      </c>
    </row>
    <row r="105" spans="1:8" x14ac:dyDescent="0.25">
      <c r="A105">
        <v>104</v>
      </c>
      <c r="B105" t="s">
        <v>5</v>
      </c>
      <c r="C105">
        <v>26</v>
      </c>
      <c r="D105" t="str">
        <f t="shared" si="3"/>
        <v>Adult</v>
      </c>
      <c r="E105">
        <v>62</v>
      </c>
      <c r="F105" t="str">
        <f t="shared" si="4"/>
        <v>High</v>
      </c>
      <c r="G105">
        <v>55</v>
      </c>
      <c r="H105" t="str">
        <f t="shared" si="5"/>
        <v>Medium</v>
      </c>
    </row>
    <row r="106" spans="1:8" x14ac:dyDescent="0.25">
      <c r="A106">
        <v>105</v>
      </c>
      <c r="B106" t="s">
        <v>5</v>
      </c>
      <c r="C106">
        <v>49</v>
      </c>
      <c r="D106" t="str">
        <f t="shared" si="3"/>
        <v>Middle-Aged</v>
      </c>
      <c r="E106">
        <v>62</v>
      </c>
      <c r="F106" t="str">
        <f t="shared" si="4"/>
        <v>High</v>
      </c>
      <c r="G106">
        <v>56</v>
      </c>
      <c r="H106" t="str">
        <f t="shared" si="5"/>
        <v>Medium</v>
      </c>
    </row>
    <row r="107" spans="1:8" x14ac:dyDescent="0.25">
      <c r="A107">
        <v>106</v>
      </c>
      <c r="B107" t="s">
        <v>6</v>
      </c>
      <c r="C107">
        <v>21</v>
      </c>
      <c r="D107" t="str">
        <f t="shared" si="3"/>
        <v>Young</v>
      </c>
      <c r="E107">
        <v>62</v>
      </c>
      <c r="F107" t="str">
        <f t="shared" si="4"/>
        <v>High</v>
      </c>
      <c r="G107">
        <v>42</v>
      </c>
      <c r="H107" t="str">
        <f t="shared" si="5"/>
        <v>Medium</v>
      </c>
    </row>
    <row r="108" spans="1:8" x14ac:dyDescent="0.25">
      <c r="A108">
        <v>107</v>
      </c>
      <c r="B108" t="s">
        <v>6</v>
      </c>
      <c r="C108">
        <v>66</v>
      </c>
      <c r="D108" t="str">
        <f t="shared" si="3"/>
        <v xml:space="preserve">Senior </v>
      </c>
      <c r="E108">
        <v>63</v>
      </c>
      <c r="F108" t="str">
        <f t="shared" si="4"/>
        <v>High</v>
      </c>
      <c r="G108">
        <v>50</v>
      </c>
      <c r="H108" t="str">
        <f t="shared" si="5"/>
        <v>Medium</v>
      </c>
    </row>
    <row r="109" spans="1:8" x14ac:dyDescent="0.25">
      <c r="A109">
        <v>108</v>
      </c>
      <c r="B109" t="s">
        <v>5</v>
      </c>
      <c r="C109">
        <v>54</v>
      </c>
      <c r="D109" t="str">
        <f t="shared" si="3"/>
        <v>Middle-Aged</v>
      </c>
      <c r="E109">
        <v>63</v>
      </c>
      <c r="F109" t="str">
        <f t="shared" si="4"/>
        <v>High</v>
      </c>
      <c r="G109">
        <v>46</v>
      </c>
      <c r="H109" t="str">
        <f t="shared" si="5"/>
        <v>Medium</v>
      </c>
    </row>
    <row r="110" spans="1:8" x14ac:dyDescent="0.25">
      <c r="A110">
        <v>109</v>
      </c>
      <c r="B110" t="s">
        <v>5</v>
      </c>
      <c r="C110">
        <v>68</v>
      </c>
      <c r="D110" t="str">
        <f t="shared" si="3"/>
        <v xml:space="preserve">Senior </v>
      </c>
      <c r="E110">
        <v>63</v>
      </c>
      <c r="F110" t="str">
        <f t="shared" si="4"/>
        <v>High</v>
      </c>
      <c r="G110">
        <v>43</v>
      </c>
      <c r="H110" t="str">
        <f t="shared" si="5"/>
        <v>Medium</v>
      </c>
    </row>
    <row r="111" spans="1:8" x14ac:dyDescent="0.25">
      <c r="A111">
        <v>110</v>
      </c>
      <c r="B111" t="s">
        <v>5</v>
      </c>
      <c r="C111">
        <v>66</v>
      </c>
      <c r="D111" t="str">
        <f t="shared" si="3"/>
        <v xml:space="preserve">Senior </v>
      </c>
      <c r="E111">
        <v>63</v>
      </c>
      <c r="F111" t="str">
        <f t="shared" si="4"/>
        <v>High</v>
      </c>
      <c r="G111">
        <v>48</v>
      </c>
      <c r="H111" t="str">
        <f t="shared" si="5"/>
        <v>Medium</v>
      </c>
    </row>
    <row r="112" spans="1:8" x14ac:dyDescent="0.25">
      <c r="A112">
        <v>111</v>
      </c>
      <c r="B112" t="s">
        <v>5</v>
      </c>
      <c r="C112">
        <v>65</v>
      </c>
      <c r="D112" t="str">
        <f t="shared" si="3"/>
        <v xml:space="preserve">Senior </v>
      </c>
      <c r="E112">
        <v>63</v>
      </c>
      <c r="F112" t="str">
        <f t="shared" si="4"/>
        <v>High</v>
      </c>
      <c r="G112">
        <v>52</v>
      </c>
      <c r="H112" t="str">
        <f t="shared" si="5"/>
        <v>Medium</v>
      </c>
    </row>
    <row r="113" spans="1:8" x14ac:dyDescent="0.25">
      <c r="A113">
        <v>112</v>
      </c>
      <c r="B113" t="s">
        <v>6</v>
      </c>
      <c r="C113">
        <v>19</v>
      </c>
      <c r="D113" t="str">
        <f t="shared" si="3"/>
        <v>Young</v>
      </c>
      <c r="E113">
        <v>63</v>
      </c>
      <c r="F113" t="str">
        <f t="shared" si="4"/>
        <v>High</v>
      </c>
      <c r="G113">
        <v>54</v>
      </c>
      <c r="H113" t="str">
        <f t="shared" si="5"/>
        <v>Medium</v>
      </c>
    </row>
    <row r="114" spans="1:8" x14ac:dyDescent="0.25">
      <c r="A114">
        <v>113</v>
      </c>
      <c r="B114" t="s">
        <v>6</v>
      </c>
      <c r="C114">
        <v>38</v>
      </c>
      <c r="D114" t="str">
        <f t="shared" si="3"/>
        <v>Adult</v>
      </c>
      <c r="E114">
        <v>64</v>
      </c>
      <c r="F114" t="str">
        <f t="shared" si="4"/>
        <v>High</v>
      </c>
      <c r="G114">
        <v>42</v>
      </c>
      <c r="H114" t="str">
        <f t="shared" si="5"/>
        <v>Medium</v>
      </c>
    </row>
    <row r="115" spans="1:8" x14ac:dyDescent="0.25">
      <c r="A115">
        <v>114</v>
      </c>
      <c r="B115" t="s">
        <v>5</v>
      </c>
      <c r="C115">
        <v>19</v>
      </c>
      <c r="D115" t="str">
        <f t="shared" si="3"/>
        <v>Young</v>
      </c>
      <c r="E115">
        <v>64</v>
      </c>
      <c r="F115" t="str">
        <f t="shared" si="4"/>
        <v>High</v>
      </c>
      <c r="G115">
        <v>46</v>
      </c>
      <c r="H115" t="str">
        <f t="shared" si="5"/>
        <v>Medium</v>
      </c>
    </row>
    <row r="116" spans="1:8" x14ac:dyDescent="0.25">
      <c r="A116">
        <v>115</v>
      </c>
      <c r="B116" t="s">
        <v>6</v>
      </c>
      <c r="C116">
        <v>18</v>
      </c>
      <c r="D116" t="str">
        <f t="shared" si="3"/>
        <v>Young</v>
      </c>
      <c r="E116">
        <v>65</v>
      </c>
      <c r="F116" t="str">
        <f t="shared" si="4"/>
        <v>High</v>
      </c>
      <c r="G116">
        <v>48</v>
      </c>
      <c r="H116" t="str">
        <f t="shared" si="5"/>
        <v>Medium</v>
      </c>
    </row>
    <row r="117" spans="1:8" x14ac:dyDescent="0.25">
      <c r="A117">
        <v>116</v>
      </c>
      <c r="B117" t="s">
        <v>6</v>
      </c>
      <c r="C117">
        <v>19</v>
      </c>
      <c r="D117" t="str">
        <f t="shared" si="3"/>
        <v>Young</v>
      </c>
      <c r="E117">
        <v>65</v>
      </c>
      <c r="F117" t="str">
        <f t="shared" si="4"/>
        <v>High</v>
      </c>
      <c r="G117">
        <v>50</v>
      </c>
      <c r="H117" t="str">
        <f t="shared" si="5"/>
        <v>Medium</v>
      </c>
    </row>
    <row r="118" spans="1:8" x14ac:dyDescent="0.25">
      <c r="A118">
        <v>117</v>
      </c>
      <c r="B118" t="s">
        <v>6</v>
      </c>
      <c r="C118">
        <v>63</v>
      </c>
      <c r="D118" t="str">
        <f t="shared" si="3"/>
        <v xml:space="preserve">Senior </v>
      </c>
      <c r="E118">
        <v>65</v>
      </c>
      <c r="F118" t="str">
        <f t="shared" si="4"/>
        <v>High</v>
      </c>
      <c r="G118">
        <v>43</v>
      </c>
      <c r="H118" t="str">
        <f t="shared" si="5"/>
        <v>Medium</v>
      </c>
    </row>
    <row r="119" spans="1:8" x14ac:dyDescent="0.25">
      <c r="A119">
        <v>118</v>
      </c>
      <c r="B119" t="s">
        <v>6</v>
      </c>
      <c r="C119">
        <v>49</v>
      </c>
      <c r="D119" t="str">
        <f t="shared" si="3"/>
        <v>Middle-Aged</v>
      </c>
      <c r="E119">
        <v>65</v>
      </c>
      <c r="F119" t="str">
        <f t="shared" si="4"/>
        <v>High</v>
      </c>
      <c r="G119">
        <v>59</v>
      </c>
      <c r="H119" t="str">
        <f t="shared" si="5"/>
        <v>Medium</v>
      </c>
    </row>
    <row r="120" spans="1:8" x14ac:dyDescent="0.25">
      <c r="A120">
        <v>119</v>
      </c>
      <c r="B120" t="s">
        <v>6</v>
      </c>
      <c r="C120">
        <v>51</v>
      </c>
      <c r="D120" t="str">
        <f t="shared" si="3"/>
        <v>Middle-Aged</v>
      </c>
      <c r="E120">
        <v>67</v>
      </c>
      <c r="F120" t="str">
        <f t="shared" si="4"/>
        <v>High</v>
      </c>
      <c r="G120">
        <v>43</v>
      </c>
      <c r="H120" t="str">
        <f t="shared" si="5"/>
        <v>Medium</v>
      </c>
    </row>
    <row r="121" spans="1:8" x14ac:dyDescent="0.25">
      <c r="A121">
        <v>120</v>
      </c>
      <c r="B121" t="s">
        <v>6</v>
      </c>
      <c r="C121">
        <v>50</v>
      </c>
      <c r="D121" t="str">
        <f t="shared" si="3"/>
        <v>Middle-Aged</v>
      </c>
      <c r="E121">
        <v>67</v>
      </c>
      <c r="F121" t="str">
        <f t="shared" si="4"/>
        <v>High</v>
      </c>
      <c r="G121">
        <v>57</v>
      </c>
      <c r="H121" t="str">
        <f t="shared" si="5"/>
        <v>Medium</v>
      </c>
    </row>
    <row r="122" spans="1:8" x14ac:dyDescent="0.25">
      <c r="A122">
        <v>121</v>
      </c>
      <c r="B122" t="s">
        <v>5</v>
      </c>
      <c r="C122">
        <v>27</v>
      </c>
      <c r="D122" t="str">
        <f t="shared" si="3"/>
        <v>Adult</v>
      </c>
      <c r="E122">
        <v>67</v>
      </c>
      <c r="F122" t="str">
        <f t="shared" si="4"/>
        <v>High</v>
      </c>
      <c r="G122">
        <v>56</v>
      </c>
      <c r="H122" t="str">
        <f t="shared" si="5"/>
        <v>Medium</v>
      </c>
    </row>
    <row r="123" spans="1:8" x14ac:dyDescent="0.25">
      <c r="A123">
        <v>122</v>
      </c>
      <c r="B123" t="s">
        <v>6</v>
      </c>
      <c r="C123">
        <v>38</v>
      </c>
      <c r="D123" t="str">
        <f t="shared" si="3"/>
        <v>Adult</v>
      </c>
      <c r="E123">
        <v>67</v>
      </c>
      <c r="F123" t="str">
        <f t="shared" si="4"/>
        <v>High</v>
      </c>
      <c r="G123">
        <v>40</v>
      </c>
      <c r="H123" t="str">
        <f t="shared" si="5"/>
        <v>Medium</v>
      </c>
    </row>
    <row r="124" spans="1:8" x14ac:dyDescent="0.25">
      <c r="A124">
        <v>123</v>
      </c>
      <c r="B124" t="s">
        <v>6</v>
      </c>
      <c r="C124">
        <v>40</v>
      </c>
      <c r="D124" t="str">
        <f t="shared" si="3"/>
        <v>Adult</v>
      </c>
      <c r="E124">
        <v>69</v>
      </c>
      <c r="F124" t="str">
        <f t="shared" si="4"/>
        <v>High</v>
      </c>
      <c r="G124">
        <v>58</v>
      </c>
      <c r="H124" t="str">
        <f t="shared" si="5"/>
        <v>Medium</v>
      </c>
    </row>
    <row r="125" spans="1:8" x14ac:dyDescent="0.25">
      <c r="A125">
        <v>124</v>
      </c>
      <c r="B125" t="s">
        <v>5</v>
      </c>
      <c r="C125">
        <v>39</v>
      </c>
      <c r="D125" t="str">
        <f t="shared" si="3"/>
        <v>Adult</v>
      </c>
      <c r="E125">
        <v>69</v>
      </c>
      <c r="F125" t="str">
        <f t="shared" si="4"/>
        <v>High</v>
      </c>
      <c r="G125">
        <v>91</v>
      </c>
      <c r="H125" t="str">
        <f t="shared" si="5"/>
        <v>High</v>
      </c>
    </row>
    <row r="126" spans="1:8" x14ac:dyDescent="0.25">
      <c r="A126">
        <v>125</v>
      </c>
      <c r="B126" t="s">
        <v>6</v>
      </c>
      <c r="C126">
        <v>23</v>
      </c>
      <c r="D126" t="str">
        <f t="shared" si="3"/>
        <v>Young</v>
      </c>
      <c r="E126">
        <v>70</v>
      </c>
      <c r="F126" t="str">
        <f t="shared" si="4"/>
        <v>High</v>
      </c>
      <c r="G126">
        <v>29</v>
      </c>
      <c r="H126" t="str">
        <f t="shared" si="5"/>
        <v>Low</v>
      </c>
    </row>
    <row r="127" spans="1:8" x14ac:dyDescent="0.25">
      <c r="A127">
        <v>126</v>
      </c>
      <c r="B127" t="s">
        <v>6</v>
      </c>
      <c r="C127">
        <v>31</v>
      </c>
      <c r="D127" t="str">
        <f t="shared" si="3"/>
        <v>Adult</v>
      </c>
      <c r="E127">
        <v>70</v>
      </c>
      <c r="F127" t="str">
        <f t="shared" si="4"/>
        <v>High</v>
      </c>
      <c r="G127">
        <v>77</v>
      </c>
      <c r="H127" t="str">
        <f t="shared" si="5"/>
        <v>High</v>
      </c>
    </row>
    <row r="128" spans="1:8" x14ac:dyDescent="0.25">
      <c r="A128">
        <v>127</v>
      </c>
      <c r="B128" t="s">
        <v>5</v>
      </c>
      <c r="C128">
        <v>43</v>
      </c>
      <c r="D128" t="str">
        <f t="shared" si="3"/>
        <v>Middle-Aged</v>
      </c>
      <c r="E128">
        <v>71</v>
      </c>
      <c r="F128" t="str">
        <f t="shared" si="4"/>
        <v>High</v>
      </c>
      <c r="G128">
        <v>35</v>
      </c>
      <c r="H128" t="str">
        <f t="shared" si="5"/>
        <v>Medium</v>
      </c>
    </row>
    <row r="129" spans="1:8" x14ac:dyDescent="0.25">
      <c r="A129">
        <v>128</v>
      </c>
      <c r="B129" t="s">
        <v>5</v>
      </c>
      <c r="C129">
        <v>40</v>
      </c>
      <c r="D129" t="str">
        <f t="shared" si="3"/>
        <v>Adult</v>
      </c>
      <c r="E129">
        <v>71</v>
      </c>
      <c r="F129" t="str">
        <f t="shared" si="4"/>
        <v>High</v>
      </c>
      <c r="G129">
        <v>95</v>
      </c>
      <c r="H129" t="str">
        <f t="shared" si="5"/>
        <v>High</v>
      </c>
    </row>
    <row r="130" spans="1:8" x14ac:dyDescent="0.25">
      <c r="A130">
        <v>129</v>
      </c>
      <c r="B130" t="s">
        <v>5</v>
      </c>
      <c r="C130">
        <v>59</v>
      </c>
      <c r="D130" t="str">
        <f t="shared" si="3"/>
        <v>Middle-Aged</v>
      </c>
      <c r="E130">
        <v>71</v>
      </c>
      <c r="F130" t="str">
        <f t="shared" si="4"/>
        <v>High</v>
      </c>
      <c r="G130">
        <v>11</v>
      </c>
      <c r="H130" t="str">
        <f t="shared" si="5"/>
        <v>Low</v>
      </c>
    </row>
    <row r="131" spans="1:8" x14ac:dyDescent="0.25">
      <c r="A131">
        <v>130</v>
      </c>
      <c r="B131" t="s">
        <v>5</v>
      </c>
      <c r="C131">
        <v>38</v>
      </c>
      <c r="D131" t="str">
        <f t="shared" ref="D131:D194" si="6">IF(C131&lt;=25,"Young",IF(C131&lt;=40,"Adult",IF(C131&lt;=60,"Middle-Aged","Senior ")))</f>
        <v>Adult</v>
      </c>
      <c r="E131">
        <v>71</v>
      </c>
      <c r="F131" t="str">
        <f t="shared" ref="F131:F194" si="7">IF(E131&lt;=30,"Low",IF(E131&lt;=60,"Medium",IF(E131&lt;=90,"High","Very High ")))</f>
        <v>High</v>
      </c>
      <c r="G131">
        <v>75</v>
      </c>
      <c r="H131" t="str">
        <f t="shared" ref="H131:H194" si="8">IF(G131&lt;=33,"Low",IF(G131&lt;=66,"Medium","High"))</f>
        <v>High</v>
      </c>
    </row>
    <row r="132" spans="1:8" x14ac:dyDescent="0.25">
      <c r="A132">
        <v>131</v>
      </c>
      <c r="B132" t="s">
        <v>5</v>
      </c>
      <c r="C132">
        <v>47</v>
      </c>
      <c r="D132" t="str">
        <f t="shared" si="6"/>
        <v>Middle-Aged</v>
      </c>
      <c r="E132">
        <v>71</v>
      </c>
      <c r="F132" t="str">
        <f t="shared" si="7"/>
        <v>High</v>
      </c>
      <c r="G132">
        <v>9</v>
      </c>
      <c r="H132" t="str">
        <f t="shared" si="8"/>
        <v>Low</v>
      </c>
    </row>
    <row r="133" spans="1:8" x14ac:dyDescent="0.25">
      <c r="A133">
        <v>132</v>
      </c>
      <c r="B133" t="s">
        <v>5</v>
      </c>
      <c r="C133">
        <v>39</v>
      </c>
      <c r="D133" t="str">
        <f t="shared" si="6"/>
        <v>Adult</v>
      </c>
      <c r="E133">
        <v>71</v>
      </c>
      <c r="F133" t="str">
        <f t="shared" si="7"/>
        <v>High</v>
      </c>
      <c r="G133">
        <v>75</v>
      </c>
      <c r="H133" t="str">
        <f t="shared" si="8"/>
        <v>High</v>
      </c>
    </row>
    <row r="134" spans="1:8" x14ac:dyDescent="0.25">
      <c r="A134">
        <v>133</v>
      </c>
      <c r="B134" t="s">
        <v>6</v>
      </c>
      <c r="C134">
        <v>25</v>
      </c>
      <c r="D134" t="str">
        <f t="shared" si="6"/>
        <v>Young</v>
      </c>
      <c r="E134">
        <v>72</v>
      </c>
      <c r="F134" t="str">
        <f t="shared" si="7"/>
        <v>High</v>
      </c>
      <c r="G134">
        <v>34</v>
      </c>
      <c r="H134" t="str">
        <f t="shared" si="8"/>
        <v>Medium</v>
      </c>
    </row>
    <row r="135" spans="1:8" x14ac:dyDescent="0.25">
      <c r="A135">
        <v>134</v>
      </c>
      <c r="B135" t="s">
        <v>6</v>
      </c>
      <c r="C135">
        <v>31</v>
      </c>
      <c r="D135" t="str">
        <f t="shared" si="6"/>
        <v>Adult</v>
      </c>
      <c r="E135">
        <v>72</v>
      </c>
      <c r="F135" t="str">
        <f t="shared" si="7"/>
        <v>High</v>
      </c>
      <c r="G135">
        <v>71</v>
      </c>
      <c r="H135" t="str">
        <f t="shared" si="8"/>
        <v>High</v>
      </c>
    </row>
    <row r="136" spans="1:8" x14ac:dyDescent="0.25">
      <c r="A136">
        <v>135</v>
      </c>
      <c r="B136" t="s">
        <v>5</v>
      </c>
      <c r="C136">
        <v>20</v>
      </c>
      <c r="D136" t="str">
        <f t="shared" si="6"/>
        <v>Young</v>
      </c>
      <c r="E136">
        <v>73</v>
      </c>
      <c r="F136" t="str">
        <f t="shared" si="7"/>
        <v>High</v>
      </c>
      <c r="G136">
        <v>5</v>
      </c>
      <c r="H136" t="str">
        <f t="shared" si="8"/>
        <v>Low</v>
      </c>
    </row>
    <row r="137" spans="1:8" x14ac:dyDescent="0.25">
      <c r="A137">
        <v>136</v>
      </c>
      <c r="B137" t="s">
        <v>6</v>
      </c>
      <c r="C137">
        <v>29</v>
      </c>
      <c r="D137" t="str">
        <f t="shared" si="6"/>
        <v>Adult</v>
      </c>
      <c r="E137">
        <v>73</v>
      </c>
      <c r="F137" t="str">
        <f t="shared" si="7"/>
        <v>High</v>
      </c>
      <c r="G137">
        <v>88</v>
      </c>
      <c r="H137" t="str">
        <f t="shared" si="8"/>
        <v>High</v>
      </c>
    </row>
    <row r="138" spans="1:8" x14ac:dyDescent="0.25">
      <c r="A138">
        <v>137</v>
      </c>
      <c r="B138" t="s">
        <v>6</v>
      </c>
      <c r="C138">
        <v>44</v>
      </c>
      <c r="D138" t="str">
        <f t="shared" si="6"/>
        <v>Middle-Aged</v>
      </c>
      <c r="E138">
        <v>73</v>
      </c>
      <c r="F138" t="str">
        <f t="shared" si="7"/>
        <v>High</v>
      </c>
      <c r="G138">
        <v>7</v>
      </c>
      <c r="H138" t="str">
        <f t="shared" si="8"/>
        <v>Low</v>
      </c>
    </row>
    <row r="139" spans="1:8" x14ac:dyDescent="0.25">
      <c r="A139">
        <v>138</v>
      </c>
      <c r="B139" t="s">
        <v>5</v>
      </c>
      <c r="C139">
        <v>32</v>
      </c>
      <c r="D139" t="str">
        <f t="shared" si="6"/>
        <v>Adult</v>
      </c>
      <c r="E139">
        <v>73</v>
      </c>
      <c r="F139" t="str">
        <f t="shared" si="7"/>
        <v>High</v>
      </c>
      <c r="G139">
        <v>73</v>
      </c>
      <c r="H139" t="str">
        <f t="shared" si="8"/>
        <v>High</v>
      </c>
    </row>
    <row r="140" spans="1:8" x14ac:dyDescent="0.25">
      <c r="A140">
        <v>139</v>
      </c>
      <c r="B140" t="s">
        <v>5</v>
      </c>
      <c r="C140">
        <v>19</v>
      </c>
      <c r="D140" t="str">
        <f t="shared" si="6"/>
        <v>Young</v>
      </c>
      <c r="E140">
        <v>74</v>
      </c>
      <c r="F140" t="str">
        <f t="shared" si="7"/>
        <v>High</v>
      </c>
      <c r="G140">
        <v>10</v>
      </c>
      <c r="H140" t="str">
        <f t="shared" si="8"/>
        <v>Low</v>
      </c>
    </row>
    <row r="141" spans="1:8" x14ac:dyDescent="0.25">
      <c r="A141">
        <v>140</v>
      </c>
      <c r="B141" t="s">
        <v>6</v>
      </c>
      <c r="C141">
        <v>35</v>
      </c>
      <c r="D141" t="str">
        <f t="shared" si="6"/>
        <v>Adult</v>
      </c>
      <c r="E141">
        <v>74</v>
      </c>
      <c r="F141" t="str">
        <f t="shared" si="7"/>
        <v>High</v>
      </c>
      <c r="G141">
        <v>72</v>
      </c>
      <c r="H141" t="str">
        <f t="shared" si="8"/>
        <v>High</v>
      </c>
    </row>
    <row r="142" spans="1:8" x14ac:dyDescent="0.25">
      <c r="A142">
        <v>141</v>
      </c>
      <c r="B142" t="s">
        <v>6</v>
      </c>
      <c r="C142">
        <v>57</v>
      </c>
      <c r="D142" t="str">
        <f t="shared" si="6"/>
        <v>Middle-Aged</v>
      </c>
      <c r="E142">
        <v>75</v>
      </c>
      <c r="F142" t="str">
        <f t="shared" si="7"/>
        <v>High</v>
      </c>
      <c r="G142">
        <v>5</v>
      </c>
      <c r="H142" t="str">
        <f t="shared" si="8"/>
        <v>Low</v>
      </c>
    </row>
    <row r="143" spans="1:8" x14ac:dyDescent="0.25">
      <c r="A143">
        <v>142</v>
      </c>
      <c r="B143" t="s">
        <v>5</v>
      </c>
      <c r="C143">
        <v>32</v>
      </c>
      <c r="D143" t="str">
        <f t="shared" si="6"/>
        <v>Adult</v>
      </c>
      <c r="E143">
        <v>75</v>
      </c>
      <c r="F143" t="str">
        <f t="shared" si="7"/>
        <v>High</v>
      </c>
      <c r="G143">
        <v>93</v>
      </c>
      <c r="H143" t="str">
        <f t="shared" si="8"/>
        <v>High</v>
      </c>
    </row>
    <row r="144" spans="1:8" x14ac:dyDescent="0.25">
      <c r="A144">
        <v>143</v>
      </c>
      <c r="B144" t="s">
        <v>6</v>
      </c>
      <c r="C144">
        <v>28</v>
      </c>
      <c r="D144" t="str">
        <f t="shared" si="6"/>
        <v>Adult</v>
      </c>
      <c r="E144">
        <v>76</v>
      </c>
      <c r="F144" t="str">
        <f t="shared" si="7"/>
        <v>High</v>
      </c>
      <c r="G144">
        <v>40</v>
      </c>
      <c r="H144" t="str">
        <f t="shared" si="8"/>
        <v>Medium</v>
      </c>
    </row>
    <row r="145" spans="1:8" x14ac:dyDescent="0.25">
      <c r="A145">
        <v>144</v>
      </c>
      <c r="B145" t="s">
        <v>6</v>
      </c>
      <c r="C145">
        <v>32</v>
      </c>
      <c r="D145" t="str">
        <f t="shared" si="6"/>
        <v>Adult</v>
      </c>
      <c r="E145">
        <v>76</v>
      </c>
      <c r="F145" t="str">
        <f t="shared" si="7"/>
        <v>High</v>
      </c>
      <c r="G145">
        <v>87</v>
      </c>
      <c r="H145" t="str">
        <f t="shared" si="8"/>
        <v>High</v>
      </c>
    </row>
    <row r="146" spans="1:8" x14ac:dyDescent="0.25">
      <c r="A146">
        <v>145</v>
      </c>
      <c r="B146" t="s">
        <v>5</v>
      </c>
      <c r="C146">
        <v>25</v>
      </c>
      <c r="D146" t="str">
        <f t="shared" si="6"/>
        <v>Young</v>
      </c>
      <c r="E146">
        <v>77</v>
      </c>
      <c r="F146" t="str">
        <f t="shared" si="7"/>
        <v>High</v>
      </c>
      <c r="G146">
        <v>12</v>
      </c>
      <c r="H146" t="str">
        <f t="shared" si="8"/>
        <v>Low</v>
      </c>
    </row>
    <row r="147" spans="1:8" x14ac:dyDescent="0.25">
      <c r="A147">
        <v>146</v>
      </c>
      <c r="B147" t="s">
        <v>5</v>
      </c>
      <c r="C147">
        <v>28</v>
      </c>
      <c r="D147" t="str">
        <f t="shared" si="6"/>
        <v>Adult</v>
      </c>
      <c r="E147">
        <v>77</v>
      </c>
      <c r="F147" t="str">
        <f t="shared" si="7"/>
        <v>High</v>
      </c>
      <c r="G147">
        <v>97</v>
      </c>
      <c r="H147" t="str">
        <f t="shared" si="8"/>
        <v>High</v>
      </c>
    </row>
    <row r="148" spans="1:8" x14ac:dyDescent="0.25">
      <c r="A148">
        <v>147</v>
      </c>
      <c r="B148" t="s">
        <v>5</v>
      </c>
      <c r="C148">
        <v>48</v>
      </c>
      <c r="D148" t="str">
        <f t="shared" si="6"/>
        <v>Middle-Aged</v>
      </c>
      <c r="E148">
        <v>77</v>
      </c>
      <c r="F148" t="str">
        <f t="shared" si="7"/>
        <v>High</v>
      </c>
      <c r="G148">
        <v>36</v>
      </c>
      <c r="H148" t="str">
        <f t="shared" si="8"/>
        <v>Medium</v>
      </c>
    </row>
    <row r="149" spans="1:8" x14ac:dyDescent="0.25">
      <c r="A149">
        <v>148</v>
      </c>
      <c r="B149" t="s">
        <v>6</v>
      </c>
      <c r="C149">
        <v>32</v>
      </c>
      <c r="D149" t="str">
        <f t="shared" si="6"/>
        <v>Adult</v>
      </c>
      <c r="E149">
        <v>77</v>
      </c>
      <c r="F149" t="str">
        <f t="shared" si="7"/>
        <v>High</v>
      </c>
      <c r="G149">
        <v>74</v>
      </c>
      <c r="H149" t="str">
        <f t="shared" si="8"/>
        <v>High</v>
      </c>
    </row>
    <row r="150" spans="1:8" x14ac:dyDescent="0.25">
      <c r="A150">
        <v>149</v>
      </c>
      <c r="B150" t="s">
        <v>6</v>
      </c>
      <c r="C150">
        <v>34</v>
      </c>
      <c r="D150" t="str">
        <f t="shared" si="6"/>
        <v>Adult</v>
      </c>
      <c r="E150">
        <v>78</v>
      </c>
      <c r="F150" t="str">
        <f t="shared" si="7"/>
        <v>High</v>
      </c>
      <c r="G150">
        <v>22</v>
      </c>
      <c r="H150" t="str">
        <f t="shared" si="8"/>
        <v>Low</v>
      </c>
    </row>
    <row r="151" spans="1:8" x14ac:dyDescent="0.25">
      <c r="A151">
        <v>150</v>
      </c>
      <c r="B151" t="s">
        <v>5</v>
      </c>
      <c r="C151">
        <v>34</v>
      </c>
      <c r="D151" t="str">
        <f t="shared" si="6"/>
        <v>Adult</v>
      </c>
      <c r="E151">
        <v>78</v>
      </c>
      <c r="F151" t="str">
        <f t="shared" si="7"/>
        <v>High</v>
      </c>
      <c r="G151">
        <v>90</v>
      </c>
      <c r="H151" t="str">
        <f t="shared" si="8"/>
        <v>High</v>
      </c>
    </row>
    <row r="152" spans="1:8" x14ac:dyDescent="0.25">
      <c r="A152">
        <v>151</v>
      </c>
      <c r="B152" t="s">
        <v>5</v>
      </c>
      <c r="C152">
        <v>43</v>
      </c>
      <c r="D152" t="str">
        <f t="shared" si="6"/>
        <v>Middle-Aged</v>
      </c>
      <c r="E152">
        <v>78</v>
      </c>
      <c r="F152" t="str">
        <f t="shared" si="7"/>
        <v>High</v>
      </c>
      <c r="G152">
        <v>17</v>
      </c>
      <c r="H152" t="str">
        <f t="shared" si="8"/>
        <v>Low</v>
      </c>
    </row>
    <row r="153" spans="1:8" x14ac:dyDescent="0.25">
      <c r="A153">
        <v>152</v>
      </c>
      <c r="B153" t="s">
        <v>5</v>
      </c>
      <c r="C153">
        <v>39</v>
      </c>
      <c r="D153" t="str">
        <f t="shared" si="6"/>
        <v>Adult</v>
      </c>
      <c r="E153">
        <v>78</v>
      </c>
      <c r="F153" t="str">
        <f t="shared" si="7"/>
        <v>High</v>
      </c>
      <c r="G153">
        <v>88</v>
      </c>
      <c r="H153" t="str">
        <f t="shared" si="8"/>
        <v>High</v>
      </c>
    </row>
    <row r="154" spans="1:8" x14ac:dyDescent="0.25">
      <c r="A154">
        <v>153</v>
      </c>
      <c r="B154" t="s">
        <v>6</v>
      </c>
      <c r="C154">
        <v>44</v>
      </c>
      <c r="D154" t="str">
        <f t="shared" si="6"/>
        <v>Middle-Aged</v>
      </c>
      <c r="E154">
        <v>78</v>
      </c>
      <c r="F154" t="str">
        <f t="shared" si="7"/>
        <v>High</v>
      </c>
      <c r="G154">
        <v>20</v>
      </c>
      <c r="H154" t="str">
        <f t="shared" si="8"/>
        <v>Low</v>
      </c>
    </row>
    <row r="155" spans="1:8" x14ac:dyDescent="0.25">
      <c r="A155">
        <v>154</v>
      </c>
      <c r="B155" t="s">
        <v>6</v>
      </c>
      <c r="C155">
        <v>38</v>
      </c>
      <c r="D155" t="str">
        <f t="shared" si="6"/>
        <v>Adult</v>
      </c>
      <c r="E155">
        <v>78</v>
      </c>
      <c r="F155" t="str">
        <f t="shared" si="7"/>
        <v>High</v>
      </c>
      <c r="G155">
        <v>76</v>
      </c>
      <c r="H155" t="str">
        <f t="shared" si="8"/>
        <v>High</v>
      </c>
    </row>
    <row r="156" spans="1:8" x14ac:dyDescent="0.25">
      <c r="A156">
        <v>155</v>
      </c>
      <c r="B156" t="s">
        <v>6</v>
      </c>
      <c r="C156">
        <v>47</v>
      </c>
      <c r="D156" t="str">
        <f t="shared" si="6"/>
        <v>Middle-Aged</v>
      </c>
      <c r="E156">
        <v>78</v>
      </c>
      <c r="F156" t="str">
        <f t="shared" si="7"/>
        <v>High</v>
      </c>
      <c r="G156">
        <v>16</v>
      </c>
      <c r="H156" t="str">
        <f t="shared" si="8"/>
        <v>Low</v>
      </c>
    </row>
    <row r="157" spans="1:8" x14ac:dyDescent="0.25">
      <c r="A157">
        <v>156</v>
      </c>
      <c r="B157" t="s">
        <v>6</v>
      </c>
      <c r="C157">
        <v>27</v>
      </c>
      <c r="D157" t="str">
        <f t="shared" si="6"/>
        <v>Adult</v>
      </c>
      <c r="E157">
        <v>78</v>
      </c>
      <c r="F157" t="str">
        <f t="shared" si="7"/>
        <v>High</v>
      </c>
      <c r="G157">
        <v>89</v>
      </c>
      <c r="H157" t="str">
        <f t="shared" si="8"/>
        <v>High</v>
      </c>
    </row>
    <row r="158" spans="1:8" x14ac:dyDescent="0.25">
      <c r="A158">
        <v>157</v>
      </c>
      <c r="B158" t="s">
        <v>5</v>
      </c>
      <c r="C158">
        <v>37</v>
      </c>
      <c r="D158" t="str">
        <f t="shared" si="6"/>
        <v>Adult</v>
      </c>
      <c r="E158">
        <v>78</v>
      </c>
      <c r="F158" t="str">
        <f t="shared" si="7"/>
        <v>High</v>
      </c>
      <c r="G158">
        <v>1</v>
      </c>
      <c r="H158" t="str">
        <f t="shared" si="8"/>
        <v>Low</v>
      </c>
    </row>
    <row r="159" spans="1:8" x14ac:dyDescent="0.25">
      <c r="A159">
        <v>158</v>
      </c>
      <c r="B159" t="s">
        <v>6</v>
      </c>
      <c r="C159">
        <v>30</v>
      </c>
      <c r="D159" t="str">
        <f t="shared" si="6"/>
        <v>Adult</v>
      </c>
      <c r="E159">
        <v>78</v>
      </c>
      <c r="F159" t="str">
        <f t="shared" si="7"/>
        <v>High</v>
      </c>
      <c r="G159">
        <v>78</v>
      </c>
      <c r="H159" t="str">
        <f t="shared" si="8"/>
        <v>High</v>
      </c>
    </row>
    <row r="160" spans="1:8" x14ac:dyDescent="0.25">
      <c r="A160">
        <v>159</v>
      </c>
      <c r="B160" t="s">
        <v>5</v>
      </c>
      <c r="C160">
        <v>34</v>
      </c>
      <c r="D160" t="str">
        <f t="shared" si="6"/>
        <v>Adult</v>
      </c>
      <c r="E160">
        <v>78</v>
      </c>
      <c r="F160" t="str">
        <f t="shared" si="7"/>
        <v>High</v>
      </c>
      <c r="G160">
        <v>1</v>
      </c>
      <c r="H160" t="str">
        <f t="shared" si="8"/>
        <v>Low</v>
      </c>
    </row>
    <row r="161" spans="1:8" x14ac:dyDescent="0.25">
      <c r="A161">
        <v>160</v>
      </c>
      <c r="B161" t="s">
        <v>6</v>
      </c>
      <c r="C161">
        <v>30</v>
      </c>
      <c r="D161" t="str">
        <f t="shared" si="6"/>
        <v>Adult</v>
      </c>
      <c r="E161">
        <v>78</v>
      </c>
      <c r="F161" t="str">
        <f t="shared" si="7"/>
        <v>High</v>
      </c>
      <c r="G161">
        <v>73</v>
      </c>
      <c r="H161" t="str">
        <f t="shared" si="8"/>
        <v>High</v>
      </c>
    </row>
    <row r="162" spans="1:8" x14ac:dyDescent="0.25">
      <c r="A162">
        <v>161</v>
      </c>
      <c r="B162" t="s">
        <v>6</v>
      </c>
      <c r="C162">
        <v>56</v>
      </c>
      <c r="D162" t="str">
        <f t="shared" si="6"/>
        <v>Middle-Aged</v>
      </c>
      <c r="E162">
        <v>79</v>
      </c>
      <c r="F162" t="str">
        <f t="shared" si="7"/>
        <v>High</v>
      </c>
      <c r="G162">
        <v>35</v>
      </c>
      <c r="H162" t="str">
        <f t="shared" si="8"/>
        <v>Medium</v>
      </c>
    </row>
    <row r="163" spans="1:8" x14ac:dyDescent="0.25">
      <c r="A163">
        <v>162</v>
      </c>
      <c r="B163" t="s">
        <v>6</v>
      </c>
      <c r="C163">
        <v>29</v>
      </c>
      <c r="D163" t="str">
        <f t="shared" si="6"/>
        <v>Adult</v>
      </c>
      <c r="E163">
        <v>79</v>
      </c>
      <c r="F163" t="str">
        <f t="shared" si="7"/>
        <v>High</v>
      </c>
      <c r="G163">
        <v>83</v>
      </c>
      <c r="H163" t="str">
        <f t="shared" si="8"/>
        <v>High</v>
      </c>
    </row>
    <row r="164" spans="1:8" x14ac:dyDescent="0.25">
      <c r="A164">
        <v>163</v>
      </c>
      <c r="B164" t="s">
        <v>5</v>
      </c>
      <c r="C164">
        <v>19</v>
      </c>
      <c r="D164" t="str">
        <f t="shared" si="6"/>
        <v>Young</v>
      </c>
      <c r="E164">
        <v>81</v>
      </c>
      <c r="F164" t="str">
        <f t="shared" si="7"/>
        <v>High</v>
      </c>
      <c r="G164">
        <v>5</v>
      </c>
      <c r="H164" t="str">
        <f t="shared" si="8"/>
        <v>Low</v>
      </c>
    </row>
    <row r="165" spans="1:8" x14ac:dyDescent="0.25">
      <c r="A165">
        <v>164</v>
      </c>
      <c r="B165" t="s">
        <v>6</v>
      </c>
      <c r="C165">
        <v>31</v>
      </c>
      <c r="D165" t="str">
        <f t="shared" si="6"/>
        <v>Adult</v>
      </c>
      <c r="E165">
        <v>81</v>
      </c>
      <c r="F165" t="str">
        <f t="shared" si="7"/>
        <v>High</v>
      </c>
      <c r="G165">
        <v>93</v>
      </c>
      <c r="H165" t="str">
        <f t="shared" si="8"/>
        <v>High</v>
      </c>
    </row>
    <row r="166" spans="1:8" x14ac:dyDescent="0.25">
      <c r="A166">
        <v>165</v>
      </c>
      <c r="B166" t="s">
        <v>5</v>
      </c>
      <c r="C166">
        <v>50</v>
      </c>
      <c r="D166" t="str">
        <f t="shared" si="6"/>
        <v>Middle-Aged</v>
      </c>
      <c r="E166">
        <v>85</v>
      </c>
      <c r="F166" t="str">
        <f t="shared" si="7"/>
        <v>High</v>
      </c>
      <c r="G166">
        <v>26</v>
      </c>
      <c r="H166" t="str">
        <f t="shared" si="8"/>
        <v>Low</v>
      </c>
    </row>
    <row r="167" spans="1:8" x14ac:dyDescent="0.25">
      <c r="A167">
        <v>166</v>
      </c>
      <c r="B167" t="s">
        <v>6</v>
      </c>
      <c r="C167">
        <v>36</v>
      </c>
      <c r="D167" t="str">
        <f t="shared" si="6"/>
        <v>Adult</v>
      </c>
      <c r="E167">
        <v>85</v>
      </c>
      <c r="F167" t="str">
        <f t="shared" si="7"/>
        <v>High</v>
      </c>
      <c r="G167">
        <v>75</v>
      </c>
      <c r="H167" t="str">
        <f t="shared" si="8"/>
        <v>High</v>
      </c>
    </row>
    <row r="168" spans="1:8" x14ac:dyDescent="0.25">
      <c r="A168">
        <v>167</v>
      </c>
      <c r="B168" t="s">
        <v>5</v>
      </c>
      <c r="C168">
        <v>42</v>
      </c>
      <c r="D168" t="str">
        <f t="shared" si="6"/>
        <v>Middle-Aged</v>
      </c>
      <c r="E168">
        <v>86</v>
      </c>
      <c r="F168" t="str">
        <f t="shared" si="7"/>
        <v>High</v>
      </c>
      <c r="G168">
        <v>20</v>
      </c>
      <c r="H168" t="str">
        <f t="shared" si="8"/>
        <v>Low</v>
      </c>
    </row>
    <row r="169" spans="1:8" x14ac:dyDescent="0.25">
      <c r="A169">
        <v>168</v>
      </c>
      <c r="B169" t="s">
        <v>6</v>
      </c>
      <c r="C169">
        <v>33</v>
      </c>
      <c r="D169" t="str">
        <f t="shared" si="6"/>
        <v>Adult</v>
      </c>
      <c r="E169">
        <v>86</v>
      </c>
      <c r="F169" t="str">
        <f t="shared" si="7"/>
        <v>High</v>
      </c>
      <c r="G169">
        <v>95</v>
      </c>
      <c r="H169" t="str">
        <f t="shared" si="8"/>
        <v>High</v>
      </c>
    </row>
    <row r="170" spans="1:8" x14ac:dyDescent="0.25">
      <c r="A170">
        <v>169</v>
      </c>
      <c r="B170" t="s">
        <v>6</v>
      </c>
      <c r="C170">
        <v>36</v>
      </c>
      <c r="D170" t="str">
        <f t="shared" si="6"/>
        <v>Adult</v>
      </c>
      <c r="E170">
        <v>87</v>
      </c>
      <c r="F170" t="str">
        <f t="shared" si="7"/>
        <v>High</v>
      </c>
      <c r="G170">
        <v>27</v>
      </c>
      <c r="H170" t="str">
        <f t="shared" si="8"/>
        <v>Low</v>
      </c>
    </row>
    <row r="171" spans="1:8" x14ac:dyDescent="0.25">
      <c r="A171">
        <v>170</v>
      </c>
      <c r="B171" t="s">
        <v>5</v>
      </c>
      <c r="C171">
        <v>32</v>
      </c>
      <c r="D171" t="str">
        <f t="shared" si="6"/>
        <v>Adult</v>
      </c>
      <c r="E171">
        <v>87</v>
      </c>
      <c r="F171" t="str">
        <f t="shared" si="7"/>
        <v>High</v>
      </c>
      <c r="G171">
        <v>63</v>
      </c>
      <c r="H171" t="str">
        <f t="shared" si="8"/>
        <v>Medium</v>
      </c>
    </row>
    <row r="172" spans="1:8" x14ac:dyDescent="0.25">
      <c r="A172">
        <v>171</v>
      </c>
      <c r="B172" t="s">
        <v>5</v>
      </c>
      <c r="C172">
        <v>40</v>
      </c>
      <c r="D172" t="str">
        <f t="shared" si="6"/>
        <v>Adult</v>
      </c>
      <c r="E172">
        <v>87</v>
      </c>
      <c r="F172" t="str">
        <f t="shared" si="7"/>
        <v>High</v>
      </c>
      <c r="G172">
        <v>13</v>
      </c>
      <c r="H172" t="str">
        <f t="shared" si="8"/>
        <v>Low</v>
      </c>
    </row>
    <row r="173" spans="1:8" x14ac:dyDescent="0.25">
      <c r="A173">
        <v>172</v>
      </c>
      <c r="B173" t="s">
        <v>5</v>
      </c>
      <c r="C173">
        <v>28</v>
      </c>
      <c r="D173" t="str">
        <f t="shared" si="6"/>
        <v>Adult</v>
      </c>
      <c r="E173">
        <v>87</v>
      </c>
      <c r="F173" t="str">
        <f t="shared" si="7"/>
        <v>High</v>
      </c>
      <c r="G173">
        <v>75</v>
      </c>
      <c r="H173" t="str">
        <f t="shared" si="8"/>
        <v>High</v>
      </c>
    </row>
    <row r="174" spans="1:8" x14ac:dyDescent="0.25">
      <c r="A174">
        <v>173</v>
      </c>
      <c r="B174" t="s">
        <v>5</v>
      </c>
      <c r="C174">
        <v>36</v>
      </c>
      <c r="D174" t="str">
        <f t="shared" si="6"/>
        <v>Adult</v>
      </c>
      <c r="E174">
        <v>87</v>
      </c>
      <c r="F174" t="str">
        <f t="shared" si="7"/>
        <v>High</v>
      </c>
      <c r="G174">
        <v>10</v>
      </c>
      <c r="H174" t="str">
        <f t="shared" si="8"/>
        <v>Low</v>
      </c>
    </row>
    <row r="175" spans="1:8" x14ac:dyDescent="0.25">
      <c r="A175">
        <v>174</v>
      </c>
      <c r="B175" t="s">
        <v>5</v>
      </c>
      <c r="C175">
        <v>36</v>
      </c>
      <c r="D175" t="str">
        <f t="shared" si="6"/>
        <v>Adult</v>
      </c>
      <c r="E175">
        <v>87</v>
      </c>
      <c r="F175" t="str">
        <f t="shared" si="7"/>
        <v>High</v>
      </c>
      <c r="G175">
        <v>92</v>
      </c>
      <c r="H175" t="str">
        <f t="shared" si="8"/>
        <v>High</v>
      </c>
    </row>
    <row r="176" spans="1:8" x14ac:dyDescent="0.25">
      <c r="A176">
        <v>175</v>
      </c>
      <c r="B176" t="s">
        <v>6</v>
      </c>
      <c r="C176">
        <v>52</v>
      </c>
      <c r="D176" t="str">
        <f t="shared" si="6"/>
        <v>Middle-Aged</v>
      </c>
      <c r="E176">
        <v>88</v>
      </c>
      <c r="F176" t="str">
        <f t="shared" si="7"/>
        <v>High</v>
      </c>
      <c r="G176">
        <v>13</v>
      </c>
      <c r="H176" t="str">
        <f t="shared" si="8"/>
        <v>Low</v>
      </c>
    </row>
    <row r="177" spans="1:8" x14ac:dyDescent="0.25">
      <c r="A177">
        <v>176</v>
      </c>
      <c r="B177" t="s">
        <v>6</v>
      </c>
      <c r="C177">
        <v>30</v>
      </c>
      <c r="D177" t="str">
        <f t="shared" si="6"/>
        <v>Adult</v>
      </c>
      <c r="E177">
        <v>88</v>
      </c>
      <c r="F177" t="str">
        <f t="shared" si="7"/>
        <v>High</v>
      </c>
      <c r="G177">
        <v>86</v>
      </c>
      <c r="H177" t="str">
        <f t="shared" si="8"/>
        <v>High</v>
      </c>
    </row>
    <row r="178" spans="1:8" x14ac:dyDescent="0.25">
      <c r="A178">
        <v>177</v>
      </c>
      <c r="B178" t="s">
        <v>5</v>
      </c>
      <c r="C178">
        <v>58</v>
      </c>
      <c r="D178" t="str">
        <f t="shared" si="6"/>
        <v>Middle-Aged</v>
      </c>
      <c r="E178">
        <v>88</v>
      </c>
      <c r="F178" t="str">
        <f t="shared" si="7"/>
        <v>High</v>
      </c>
      <c r="G178">
        <v>15</v>
      </c>
      <c r="H178" t="str">
        <f t="shared" si="8"/>
        <v>Low</v>
      </c>
    </row>
    <row r="179" spans="1:8" x14ac:dyDescent="0.25">
      <c r="A179">
        <v>178</v>
      </c>
      <c r="B179" t="s">
        <v>5</v>
      </c>
      <c r="C179">
        <v>27</v>
      </c>
      <c r="D179" t="str">
        <f t="shared" si="6"/>
        <v>Adult</v>
      </c>
      <c r="E179">
        <v>88</v>
      </c>
      <c r="F179" t="str">
        <f t="shared" si="7"/>
        <v>High</v>
      </c>
      <c r="G179">
        <v>69</v>
      </c>
      <c r="H179" t="str">
        <f t="shared" si="8"/>
        <v>High</v>
      </c>
    </row>
    <row r="180" spans="1:8" x14ac:dyDescent="0.25">
      <c r="A180">
        <v>179</v>
      </c>
      <c r="B180" t="s">
        <v>5</v>
      </c>
      <c r="C180">
        <v>59</v>
      </c>
      <c r="D180" t="str">
        <f t="shared" si="6"/>
        <v>Middle-Aged</v>
      </c>
      <c r="E180">
        <v>93</v>
      </c>
      <c r="F180" t="str">
        <f t="shared" si="7"/>
        <v xml:space="preserve">Very High </v>
      </c>
      <c r="G180">
        <v>14</v>
      </c>
      <c r="H180" t="str">
        <f t="shared" si="8"/>
        <v>Low</v>
      </c>
    </row>
    <row r="181" spans="1:8" x14ac:dyDescent="0.25">
      <c r="A181">
        <v>180</v>
      </c>
      <c r="B181" t="s">
        <v>5</v>
      </c>
      <c r="C181">
        <v>35</v>
      </c>
      <c r="D181" t="str">
        <f t="shared" si="6"/>
        <v>Adult</v>
      </c>
      <c r="E181">
        <v>93</v>
      </c>
      <c r="F181" t="str">
        <f t="shared" si="7"/>
        <v xml:space="preserve">Very High </v>
      </c>
      <c r="G181">
        <v>90</v>
      </c>
      <c r="H181" t="str">
        <f t="shared" si="8"/>
        <v>High</v>
      </c>
    </row>
    <row r="182" spans="1:8" x14ac:dyDescent="0.25">
      <c r="A182">
        <v>181</v>
      </c>
      <c r="B182" t="s">
        <v>6</v>
      </c>
      <c r="C182">
        <v>37</v>
      </c>
      <c r="D182" t="str">
        <f t="shared" si="6"/>
        <v>Adult</v>
      </c>
      <c r="E182">
        <v>97</v>
      </c>
      <c r="F182" t="str">
        <f t="shared" si="7"/>
        <v xml:space="preserve">Very High </v>
      </c>
      <c r="G182">
        <v>32</v>
      </c>
      <c r="H182" t="str">
        <f t="shared" si="8"/>
        <v>Low</v>
      </c>
    </row>
    <row r="183" spans="1:8" x14ac:dyDescent="0.25">
      <c r="A183">
        <v>182</v>
      </c>
      <c r="B183" t="s">
        <v>6</v>
      </c>
      <c r="C183">
        <v>32</v>
      </c>
      <c r="D183" t="str">
        <f t="shared" si="6"/>
        <v>Adult</v>
      </c>
      <c r="E183">
        <v>97</v>
      </c>
      <c r="F183" t="str">
        <f t="shared" si="7"/>
        <v xml:space="preserve">Very High </v>
      </c>
      <c r="G183">
        <v>86</v>
      </c>
      <c r="H183" t="str">
        <f t="shared" si="8"/>
        <v>High</v>
      </c>
    </row>
    <row r="184" spans="1:8" x14ac:dyDescent="0.25">
      <c r="A184">
        <v>183</v>
      </c>
      <c r="B184" t="s">
        <v>5</v>
      </c>
      <c r="C184">
        <v>46</v>
      </c>
      <c r="D184" t="str">
        <f t="shared" si="6"/>
        <v>Middle-Aged</v>
      </c>
      <c r="E184">
        <v>98</v>
      </c>
      <c r="F184" t="str">
        <f t="shared" si="7"/>
        <v xml:space="preserve">Very High </v>
      </c>
      <c r="G184">
        <v>15</v>
      </c>
      <c r="H184" t="str">
        <f t="shared" si="8"/>
        <v>Low</v>
      </c>
    </row>
    <row r="185" spans="1:8" x14ac:dyDescent="0.25">
      <c r="A185">
        <v>184</v>
      </c>
      <c r="B185" t="s">
        <v>6</v>
      </c>
      <c r="C185">
        <v>29</v>
      </c>
      <c r="D185" t="str">
        <f t="shared" si="6"/>
        <v>Adult</v>
      </c>
      <c r="E185">
        <v>98</v>
      </c>
      <c r="F185" t="str">
        <f t="shared" si="7"/>
        <v xml:space="preserve">Very High </v>
      </c>
      <c r="G185">
        <v>88</v>
      </c>
      <c r="H185" t="str">
        <f t="shared" si="8"/>
        <v>High</v>
      </c>
    </row>
    <row r="186" spans="1:8" x14ac:dyDescent="0.25">
      <c r="A186">
        <v>185</v>
      </c>
      <c r="B186" t="s">
        <v>6</v>
      </c>
      <c r="C186">
        <v>41</v>
      </c>
      <c r="D186" t="str">
        <f t="shared" si="6"/>
        <v>Middle-Aged</v>
      </c>
      <c r="E186">
        <v>99</v>
      </c>
      <c r="F186" t="str">
        <f t="shared" si="7"/>
        <v xml:space="preserve">Very High </v>
      </c>
      <c r="G186">
        <v>39</v>
      </c>
      <c r="H186" t="str">
        <f t="shared" si="8"/>
        <v>Medium</v>
      </c>
    </row>
    <row r="187" spans="1:8" x14ac:dyDescent="0.25">
      <c r="A187">
        <v>186</v>
      </c>
      <c r="B187" t="s">
        <v>5</v>
      </c>
      <c r="C187">
        <v>30</v>
      </c>
      <c r="D187" t="str">
        <f t="shared" si="6"/>
        <v>Adult</v>
      </c>
      <c r="E187">
        <v>99</v>
      </c>
      <c r="F187" t="str">
        <f t="shared" si="7"/>
        <v xml:space="preserve">Very High </v>
      </c>
      <c r="G187">
        <v>97</v>
      </c>
      <c r="H187" t="str">
        <f t="shared" si="8"/>
        <v>High</v>
      </c>
    </row>
    <row r="188" spans="1:8" x14ac:dyDescent="0.25">
      <c r="A188">
        <v>187</v>
      </c>
      <c r="B188" t="s">
        <v>6</v>
      </c>
      <c r="C188">
        <v>54</v>
      </c>
      <c r="D188" t="str">
        <f t="shared" si="6"/>
        <v>Middle-Aged</v>
      </c>
      <c r="E188">
        <v>101</v>
      </c>
      <c r="F188" t="str">
        <f t="shared" si="7"/>
        <v xml:space="preserve">Very High </v>
      </c>
      <c r="G188">
        <v>24</v>
      </c>
      <c r="H188" t="str">
        <f t="shared" si="8"/>
        <v>Low</v>
      </c>
    </row>
    <row r="189" spans="1:8" x14ac:dyDescent="0.25">
      <c r="A189">
        <v>188</v>
      </c>
      <c r="B189" t="s">
        <v>5</v>
      </c>
      <c r="C189">
        <v>28</v>
      </c>
      <c r="D189" t="str">
        <f t="shared" si="6"/>
        <v>Adult</v>
      </c>
      <c r="E189">
        <v>101</v>
      </c>
      <c r="F189" t="str">
        <f t="shared" si="7"/>
        <v xml:space="preserve">Very High </v>
      </c>
      <c r="G189">
        <v>68</v>
      </c>
      <c r="H189" t="str">
        <f t="shared" si="8"/>
        <v>High</v>
      </c>
    </row>
    <row r="190" spans="1:8" x14ac:dyDescent="0.25">
      <c r="A190">
        <v>189</v>
      </c>
      <c r="B190" t="s">
        <v>6</v>
      </c>
      <c r="C190">
        <v>41</v>
      </c>
      <c r="D190" t="str">
        <f t="shared" si="6"/>
        <v>Middle-Aged</v>
      </c>
      <c r="E190">
        <v>103</v>
      </c>
      <c r="F190" t="str">
        <f t="shared" si="7"/>
        <v xml:space="preserve">Very High </v>
      </c>
      <c r="G190">
        <v>17</v>
      </c>
      <c r="H190" t="str">
        <f t="shared" si="8"/>
        <v>Low</v>
      </c>
    </row>
    <row r="191" spans="1:8" x14ac:dyDescent="0.25">
      <c r="A191">
        <v>190</v>
      </c>
      <c r="B191" t="s">
        <v>6</v>
      </c>
      <c r="C191">
        <v>36</v>
      </c>
      <c r="D191" t="str">
        <f t="shared" si="6"/>
        <v>Adult</v>
      </c>
      <c r="E191">
        <v>103</v>
      </c>
      <c r="F191" t="str">
        <f t="shared" si="7"/>
        <v xml:space="preserve">Very High </v>
      </c>
      <c r="G191">
        <v>85</v>
      </c>
      <c r="H191" t="str">
        <f t="shared" si="8"/>
        <v>High</v>
      </c>
    </row>
    <row r="192" spans="1:8" x14ac:dyDescent="0.25">
      <c r="A192">
        <v>191</v>
      </c>
      <c r="B192" t="s">
        <v>6</v>
      </c>
      <c r="C192">
        <v>34</v>
      </c>
      <c r="D192" t="str">
        <f t="shared" si="6"/>
        <v>Adult</v>
      </c>
      <c r="E192">
        <v>103</v>
      </c>
      <c r="F192" t="str">
        <f t="shared" si="7"/>
        <v xml:space="preserve">Very High </v>
      </c>
      <c r="G192">
        <v>23</v>
      </c>
      <c r="H192" t="str">
        <f t="shared" si="8"/>
        <v>Low</v>
      </c>
    </row>
    <row r="193" spans="1:8" x14ac:dyDescent="0.25">
      <c r="A193">
        <v>192</v>
      </c>
      <c r="B193" t="s">
        <v>6</v>
      </c>
      <c r="C193">
        <v>32</v>
      </c>
      <c r="D193" t="str">
        <f t="shared" si="6"/>
        <v>Adult</v>
      </c>
      <c r="E193">
        <v>103</v>
      </c>
      <c r="F193" t="str">
        <f t="shared" si="7"/>
        <v xml:space="preserve">Very High </v>
      </c>
      <c r="G193">
        <v>69</v>
      </c>
      <c r="H193" t="str">
        <f t="shared" si="8"/>
        <v>High</v>
      </c>
    </row>
    <row r="194" spans="1:8" x14ac:dyDescent="0.25">
      <c r="A194">
        <v>193</v>
      </c>
      <c r="B194" t="s">
        <v>5</v>
      </c>
      <c r="C194">
        <v>33</v>
      </c>
      <c r="D194" t="str">
        <f t="shared" si="6"/>
        <v>Adult</v>
      </c>
      <c r="E194">
        <v>113</v>
      </c>
      <c r="F194" t="str">
        <f t="shared" si="7"/>
        <v xml:space="preserve">Very High </v>
      </c>
      <c r="G194">
        <v>8</v>
      </c>
      <c r="H194" t="str">
        <f t="shared" si="8"/>
        <v>Low</v>
      </c>
    </row>
    <row r="195" spans="1:8" x14ac:dyDescent="0.25">
      <c r="A195">
        <v>194</v>
      </c>
      <c r="B195" t="s">
        <v>6</v>
      </c>
      <c r="C195">
        <v>38</v>
      </c>
      <c r="D195" t="str">
        <f t="shared" ref="D195:D201" si="9">IF(C195&lt;=25,"Young",IF(C195&lt;=40,"Adult",IF(C195&lt;=60,"Middle-Aged","Senior ")))</f>
        <v>Adult</v>
      </c>
      <c r="E195">
        <v>113</v>
      </c>
      <c r="F195" t="str">
        <f t="shared" ref="F195:F201" si="10">IF(E195&lt;=30,"Low",IF(E195&lt;=60,"Medium",IF(E195&lt;=90,"High","Very High ")))</f>
        <v xml:space="preserve">Very High </v>
      </c>
      <c r="G195">
        <v>91</v>
      </c>
      <c r="H195" t="str">
        <f t="shared" ref="H195:H201" si="11">IF(G195&lt;=33,"Low",IF(G195&lt;=66,"Medium","High"))</f>
        <v>High</v>
      </c>
    </row>
    <row r="196" spans="1:8" x14ac:dyDescent="0.25">
      <c r="A196">
        <v>195</v>
      </c>
      <c r="B196" t="s">
        <v>6</v>
      </c>
      <c r="C196">
        <v>47</v>
      </c>
      <c r="D196" t="str">
        <f t="shared" si="9"/>
        <v>Middle-Aged</v>
      </c>
      <c r="E196">
        <v>120</v>
      </c>
      <c r="F196" t="str">
        <f t="shared" si="10"/>
        <v xml:space="preserve">Very High </v>
      </c>
      <c r="G196">
        <v>16</v>
      </c>
      <c r="H196" t="str">
        <f t="shared" si="11"/>
        <v>Low</v>
      </c>
    </row>
    <row r="197" spans="1:8" x14ac:dyDescent="0.25">
      <c r="A197">
        <v>196</v>
      </c>
      <c r="B197" t="s">
        <v>6</v>
      </c>
      <c r="C197">
        <v>35</v>
      </c>
      <c r="D197" t="str">
        <f t="shared" si="9"/>
        <v>Adult</v>
      </c>
      <c r="E197">
        <v>120</v>
      </c>
      <c r="F197" t="str">
        <f t="shared" si="10"/>
        <v xml:space="preserve">Very High </v>
      </c>
      <c r="G197">
        <v>79</v>
      </c>
      <c r="H197" t="str">
        <f t="shared" si="11"/>
        <v>High</v>
      </c>
    </row>
    <row r="198" spans="1:8" x14ac:dyDescent="0.25">
      <c r="A198">
        <v>197</v>
      </c>
      <c r="B198" t="s">
        <v>6</v>
      </c>
      <c r="C198">
        <v>45</v>
      </c>
      <c r="D198" t="str">
        <f t="shared" si="9"/>
        <v>Middle-Aged</v>
      </c>
      <c r="E198">
        <v>126</v>
      </c>
      <c r="F198" t="str">
        <f t="shared" si="10"/>
        <v xml:space="preserve">Very High </v>
      </c>
      <c r="G198">
        <v>28</v>
      </c>
      <c r="H198" t="str">
        <f t="shared" si="11"/>
        <v>Low</v>
      </c>
    </row>
    <row r="199" spans="1:8" x14ac:dyDescent="0.25">
      <c r="A199">
        <v>198</v>
      </c>
      <c r="B199" t="s">
        <v>5</v>
      </c>
      <c r="C199">
        <v>32</v>
      </c>
      <c r="D199" t="str">
        <f t="shared" si="9"/>
        <v>Adult</v>
      </c>
      <c r="E199">
        <v>126</v>
      </c>
      <c r="F199" t="str">
        <f t="shared" si="10"/>
        <v xml:space="preserve">Very High </v>
      </c>
      <c r="G199">
        <v>74</v>
      </c>
      <c r="H199" t="str">
        <f t="shared" si="11"/>
        <v>High</v>
      </c>
    </row>
    <row r="200" spans="1:8" x14ac:dyDescent="0.25">
      <c r="A200">
        <v>199</v>
      </c>
      <c r="B200" t="s">
        <v>5</v>
      </c>
      <c r="C200">
        <v>32</v>
      </c>
      <c r="D200" t="str">
        <f t="shared" si="9"/>
        <v>Adult</v>
      </c>
      <c r="E200">
        <v>137</v>
      </c>
      <c r="F200" t="str">
        <f t="shared" si="10"/>
        <v xml:space="preserve">Very High </v>
      </c>
      <c r="G200">
        <v>18</v>
      </c>
      <c r="H200" t="str">
        <f t="shared" si="11"/>
        <v>Low</v>
      </c>
    </row>
    <row r="201" spans="1:8" x14ac:dyDescent="0.25">
      <c r="A201">
        <v>200</v>
      </c>
      <c r="B201" t="s">
        <v>5</v>
      </c>
      <c r="C201">
        <v>30</v>
      </c>
      <c r="D201" t="str">
        <f t="shared" si="9"/>
        <v>Adult</v>
      </c>
      <c r="E201">
        <v>137</v>
      </c>
      <c r="F201" t="str">
        <f t="shared" si="10"/>
        <v xml:space="preserve">Very High </v>
      </c>
      <c r="G201">
        <v>83</v>
      </c>
      <c r="H201" t="str">
        <f t="shared" si="11"/>
        <v>High</v>
      </c>
    </row>
  </sheetData>
  <autoFilter ref="A1:H201" xr:uid="{FCFC9FE3-700A-4AB9-B8AB-F79B64AB02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Mall_Customers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Babajide Adigun</cp:lastModifiedBy>
  <dcterms:created xsi:type="dcterms:W3CDTF">2025-11-05T17:17:58Z</dcterms:created>
  <dcterms:modified xsi:type="dcterms:W3CDTF">2025-11-07T09:23:33Z</dcterms:modified>
</cp:coreProperties>
</file>